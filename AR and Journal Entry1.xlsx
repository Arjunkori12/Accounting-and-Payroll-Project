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49" documentId="8_{804882EA-9B60-4A00-95C5-18744EE0644E}" xr6:coauthVersionLast="47" xr6:coauthVersionMax="47" xr10:uidLastSave="{A11C402E-A1E0-4C17-81C3-574A7B1C621B}"/>
  <bookViews>
    <workbookView xWindow="24" yWindow="24" windowWidth="23016" windowHeight="12216" tabRatio="874" activeTab="1" xr2:uid="{825584E1-A75D-4FFD-94EC-04D117DFE1DC}"/>
  </bookViews>
  <sheets>
    <sheet name="1 AR_Invoices" sheetId="1" r:id="rId1"/>
    <sheet name="2 AR_Ag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C5" i="2" s="1"/>
  <c r="H6" i="1"/>
  <c r="H7" i="1"/>
  <c r="C7" i="2" s="1"/>
  <c r="H8" i="1"/>
  <c r="C8" i="2" s="1"/>
  <c r="H9" i="1"/>
  <c r="C9" i="2" s="1"/>
  <c r="H10" i="1"/>
  <c r="C10" i="2" s="1"/>
  <c r="H11" i="1"/>
  <c r="C11" i="2" s="1"/>
  <c r="H12" i="1"/>
  <c r="H13" i="1"/>
  <c r="H14" i="1"/>
  <c r="H15" i="1"/>
  <c r="H16" i="1"/>
  <c r="H17" i="1"/>
  <c r="C17" i="2" s="1"/>
  <c r="H18" i="1"/>
  <c r="H19" i="1"/>
  <c r="C19" i="2" s="1"/>
  <c r="H20" i="1"/>
  <c r="C20" i="2" s="1"/>
  <c r="H21" i="1"/>
  <c r="C21" i="2" s="1"/>
  <c r="H22" i="1"/>
  <c r="C22" i="2" s="1"/>
  <c r="H23" i="1"/>
  <c r="C23" i="2" s="1"/>
  <c r="H24" i="1"/>
  <c r="H25" i="1"/>
  <c r="H26" i="1"/>
  <c r="H27" i="1"/>
  <c r="H28" i="1"/>
  <c r="H29" i="1"/>
  <c r="C29" i="2" s="1"/>
  <c r="H30" i="1"/>
  <c r="H31" i="1"/>
  <c r="C31" i="2" s="1"/>
  <c r="H32" i="1"/>
  <c r="C32" i="2" s="1"/>
  <c r="H33" i="1"/>
  <c r="C33" i="2" s="1"/>
  <c r="H34" i="1"/>
  <c r="C34" i="2" s="1"/>
  <c r="H35" i="1"/>
  <c r="C35" i="2" s="1"/>
  <c r="H36" i="1"/>
  <c r="H37" i="1"/>
  <c r="H38" i="1"/>
  <c r="H39" i="1"/>
  <c r="H40" i="1"/>
  <c r="H41" i="1"/>
  <c r="C41" i="2" s="1"/>
  <c r="H42" i="1"/>
  <c r="H43" i="1"/>
  <c r="C43" i="2" s="1"/>
  <c r="H44" i="1"/>
  <c r="C44" i="2" s="1"/>
  <c r="H45" i="1"/>
  <c r="C45" i="2" s="1"/>
  <c r="H46" i="1"/>
  <c r="C46" i="2" s="1"/>
  <c r="H47" i="1"/>
  <c r="C47" i="2" s="1"/>
  <c r="H48" i="1"/>
  <c r="H49" i="1"/>
  <c r="H50" i="1"/>
  <c r="H51" i="1"/>
  <c r="H52" i="1"/>
  <c r="H3" i="1"/>
  <c r="C3" i="2" s="1"/>
  <c r="E11" i="2"/>
  <c r="F11" i="2" s="1"/>
  <c r="E12" i="2"/>
  <c r="E13" i="2"/>
  <c r="F13" i="2" s="1"/>
  <c r="E35" i="2"/>
  <c r="F35" i="2" s="1"/>
  <c r="E36" i="2"/>
  <c r="J36" i="2" s="1"/>
  <c r="E37" i="2"/>
  <c r="F37" i="2" s="1"/>
  <c r="E38" i="2"/>
  <c r="F38" i="2" s="1"/>
  <c r="E39" i="2"/>
  <c r="F39" i="2" s="1"/>
  <c r="E3" i="2"/>
  <c r="C4" i="2"/>
  <c r="C6" i="2"/>
  <c r="C12" i="2"/>
  <c r="C13" i="2"/>
  <c r="C14" i="2"/>
  <c r="C15" i="2"/>
  <c r="C16" i="2"/>
  <c r="C18" i="2"/>
  <c r="C24" i="2"/>
  <c r="C25" i="2"/>
  <c r="C26" i="2"/>
  <c r="C27" i="2"/>
  <c r="C28" i="2"/>
  <c r="C30" i="2"/>
  <c r="C36" i="2"/>
  <c r="C37" i="2"/>
  <c r="C38" i="2"/>
  <c r="C39" i="2"/>
  <c r="C40" i="2"/>
  <c r="C42" i="2"/>
  <c r="C48" i="2"/>
  <c r="C49" i="2"/>
  <c r="C50" i="2"/>
  <c r="C51" i="2"/>
  <c r="C52" i="2"/>
  <c r="D4" i="2"/>
  <c r="E4" i="2" s="1"/>
  <c r="F4" i="2" s="1"/>
  <c r="D5" i="2"/>
  <c r="E5" i="2" s="1"/>
  <c r="F5" i="2" s="1"/>
  <c r="D6" i="2"/>
  <c r="E6" i="2" s="1"/>
  <c r="H6" i="2" s="1"/>
  <c r="D7" i="2"/>
  <c r="E7" i="2" s="1"/>
  <c r="D8" i="2"/>
  <c r="E8" i="2" s="1"/>
  <c r="F8" i="2" s="1"/>
  <c r="D9" i="2"/>
  <c r="E9" i="2" s="1"/>
  <c r="F9" i="2" s="1"/>
  <c r="D10" i="2"/>
  <c r="E10" i="2" s="1"/>
  <c r="F10" i="2" s="1"/>
  <c r="D11" i="2"/>
  <c r="D12" i="2"/>
  <c r="D13" i="2"/>
  <c r="D14" i="2"/>
  <c r="E14" i="2" s="1"/>
  <c r="F14" i="2" s="1"/>
  <c r="D15" i="2"/>
  <c r="E15" i="2" s="1"/>
  <c r="D16" i="2"/>
  <c r="E16" i="2" s="1"/>
  <c r="F16" i="2" s="1"/>
  <c r="D17" i="2"/>
  <c r="E17" i="2" s="1"/>
  <c r="D18" i="2"/>
  <c r="E18" i="2" s="1"/>
  <c r="F18" i="2" s="1"/>
  <c r="D19" i="2"/>
  <c r="E19" i="2" s="1"/>
  <c r="F19" i="2" s="1"/>
  <c r="D20" i="2"/>
  <c r="E20" i="2" s="1"/>
  <c r="F20" i="2" s="1"/>
  <c r="D21" i="2"/>
  <c r="E21" i="2" s="1"/>
  <c r="F21" i="2" s="1"/>
  <c r="D22" i="2"/>
  <c r="E22" i="2" s="1"/>
  <c r="F22" i="2" s="1"/>
  <c r="D23" i="2"/>
  <c r="E23" i="2" s="1"/>
  <c r="D24" i="2"/>
  <c r="E24" i="2" s="1"/>
  <c r="F24" i="2" s="1"/>
  <c r="D25" i="2"/>
  <c r="E25" i="2" s="1"/>
  <c r="F25" i="2" s="1"/>
  <c r="D26" i="2"/>
  <c r="E26" i="2" s="1"/>
  <c r="H26" i="2" s="1"/>
  <c r="D27" i="2"/>
  <c r="E27" i="2" s="1"/>
  <c r="D28" i="2"/>
  <c r="E28" i="2" s="1"/>
  <c r="F28" i="2" s="1"/>
  <c r="D29" i="2"/>
  <c r="E29" i="2" s="1"/>
  <c r="D30" i="2"/>
  <c r="E30" i="2" s="1"/>
  <c r="F30" i="2" s="1"/>
  <c r="D31" i="2"/>
  <c r="E31" i="2" s="1"/>
  <c r="F31" i="2" s="1"/>
  <c r="D32" i="2"/>
  <c r="E32" i="2" s="1"/>
  <c r="D33" i="2"/>
  <c r="E33" i="2" s="1"/>
  <c r="F33" i="2" s="1"/>
  <c r="D34" i="2"/>
  <c r="E34" i="2" s="1"/>
  <c r="D35" i="2"/>
  <c r="D36" i="2"/>
  <c r="D37" i="2"/>
  <c r="D38" i="2"/>
  <c r="D39" i="2"/>
  <c r="D40" i="2"/>
  <c r="E40" i="2" s="1"/>
  <c r="D41" i="2"/>
  <c r="E41" i="2" s="1"/>
  <c r="F41" i="2" s="1"/>
  <c r="D42" i="2"/>
  <c r="E42" i="2" s="1"/>
  <c r="F42" i="2" s="1"/>
  <c r="D43" i="2"/>
  <c r="E43" i="2" s="1"/>
  <c r="D44" i="2"/>
  <c r="E44" i="2" s="1"/>
  <c r="F44" i="2" s="1"/>
  <c r="D45" i="2"/>
  <c r="E45" i="2" s="1"/>
  <c r="D46" i="2"/>
  <c r="E46" i="2" s="1"/>
  <c r="D47" i="2"/>
  <c r="E47" i="2" s="1"/>
  <c r="F47" i="2" s="1"/>
  <c r="D48" i="2"/>
  <c r="E48" i="2" s="1"/>
  <c r="F48" i="2" s="1"/>
  <c r="D49" i="2"/>
  <c r="E49" i="2" s="1"/>
  <c r="F49" i="2" s="1"/>
  <c r="D50" i="2"/>
  <c r="E50" i="2" s="1"/>
  <c r="F50" i="2" s="1"/>
  <c r="D51" i="2"/>
  <c r="E51" i="2" s="1"/>
  <c r="F51" i="2" s="1"/>
  <c r="D52" i="2"/>
  <c r="E52" i="2" s="1"/>
  <c r="F52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3" i="2"/>
  <c r="B3" i="2"/>
  <c r="D3" i="2"/>
  <c r="F23" i="2" l="1"/>
  <c r="F7" i="2"/>
  <c r="F29" i="2"/>
  <c r="B53" i="2"/>
  <c r="F43" i="2"/>
  <c r="F12" i="2"/>
  <c r="F17" i="2"/>
  <c r="F40" i="2"/>
  <c r="F27" i="2"/>
  <c r="F15" i="2"/>
  <c r="F46" i="2"/>
  <c r="F34" i="2"/>
  <c r="F45" i="2"/>
  <c r="F32" i="2"/>
  <c r="F26" i="2"/>
  <c r="F36" i="2"/>
  <c r="F6" i="2"/>
  <c r="J38" i="2"/>
  <c r="J37" i="2"/>
  <c r="J25" i="2"/>
  <c r="J24" i="2"/>
  <c r="I26" i="2"/>
  <c r="I25" i="2"/>
  <c r="I24" i="2"/>
  <c r="J27" i="2"/>
  <c r="J26" i="2"/>
  <c r="I17" i="2"/>
  <c r="I51" i="2"/>
  <c r="J51" i="2"/>
  <c r="J15" i="2"/>
  <c r="I15" i="2"/>
  <c r="I49" i="2"/>
  <c r="J49" i="2"/>
  <c r="J13" i="2"/>
  <c r="H27" i="2"/>
  <c r="I14" i="2"/>
  <c r="I13" i="2"/>
  <c r="I50" i="2"/>
  <c r="J14" i="2"/>
  <c r="I29" i="2"/>
  <c r="J48" i="2"/>
  <c r="J12" i="2"/>
  <c r="H4" i="2"/>
  <c r="J50" i="2"/>
  <c r="I27" i="2"/>
  <c r="J39" i="2"/>
  <c r="J35" i="2"/>
  <c r="J34" i="2"/>
  <c r="J45" i="2"/>
  <c r="I41" i="2"/>
  <c r="J44" i="2"/>
  <c r="J32" i="2"/>
  <c r="J20" i="2"/>
  <c r="J8" i="2"/>
  <c r="J47" i="2"/>
  <c r="J22" i="2"/>
  <c r="I48" i="2"/>
  <c r="J33" i="2"/>
  <c r="J9" i="2"/>
  <c r="J31" i="2"/>
  <c r="J7" i="2"/>
  <c r="H38" i="2"/>
  <c r="I38" i="2"/>
  <c r="I12" i="2"/>
  <c r="J42" i="2"/>
  <c r="J30" i="2"/>
  <c r="J18" i="2"/>
  <c r="J6" i="2"/>
  <c r="J11" i="2"/>
  <c r="J46" i="2"/>
  <c r="J10" i="2"/>
  <c r="J21" i="2"/>
  <c r="H40" i="2"/>
  <c r="I39" i="2"/>
  <c r="J43" i="2"/>
  <c r="J19" i="2"/>
  <c r="H29" i="2"/>
  <c r="I37" i="2"/>
  <c r="I5" i="2"/>
  <c r="J41" i="2"/>
  <c r="J29" i="2"/>
  <c r="J17" i="2"/>
  <c r="J5" i="2"/>
  <c r="J23" i="2"/>
  <c r="H28" i="2"/>
  <c r="I36" i="2"/>
  <c r="J52" i="2"/>
  <c r="J40" i="2"/>
  <c r="J28" i="2"/>
  <c r="J16" i="2"/>
  <c r="J4" i="2"/>
  <c r="I22" i="2"/>
  <c r="I8" i="2"/>
  <c r="I47" i="2"/>
  <c r="I35" i="2"/>
  <c r="I23" i="2"/>
  <c r="I11" i="2"/>
  <c r="H17" i="2"/>
  <c r="I46" i="2"/>
  <c r="I34" i="2"/>
  <c r="I10" i="2"/>
  <c r="H52" i="2"/>
  <c r="H16" i="2"/>
  <c r="I45" i="2"/>
  <c r="I33" i="2"/>
  <c r="I21" i="2"/>
  <c r="I9" i="2"/>
  <c r="H51" i="2"/>
  <c r="H15" i="2"/>
  <c r="I44" i="2"/>
  <c r="I32" i="2"/>
  <c r="I20" i="2"/>
  <c r="H50" i="2"/>
  <c r="H14" i="2"/>
  <c r="I43" i="2"/>
  <c r="I31" i="2"/>
  <c r="I19" i="2"/>
  <c r="I7" i="2"/>
  <c r="H41" i="2"/>
  <c r="H5" i="2"/>
  <c r="I42" i="2"/>
  <c r="I30" i="2"/>
  <c r="I18" i="2"/>
  <c r="I6" i="2"/>
  <c r="H39" i="2"/>
  <c r="I52" i="2"/>
  <c r="I40" i="2"/>
  <c r="I28" i="2"/>
  <c r="I16" i="2"/>
  <c r="I4" i="2"/>
  <c r="H13" i="2"/>
  <c r="H48" i="2"/>
  <c r="H12" i="2"/>
  <c r="H47" i="2"/>
  <c r="H35" i="2"/>
  <c r="H23" i="2"/>
  <c r="H11" i="2"/>
  <c r="H46" i="2"/>
  <c r="H34" i="2"/>
  <c r="H22" i="2"/>
  <c r="H10" i="2"/>
  <c r="H45" i="2"/>
  <c r="H33" i="2"/>
  <c r="H21" i="2"/>
  <c r="H9" i="2"/>
  <c r="H44" i="2"/>
  <c r="H32" i="2"/>
  <c r="H20" i="2"/>
  <c r="H8" i="2"/>
  <c r="H43" i="2"/>
  <c r="H31" i="2"/>
  <c r="H19" i="2"/>
  <c r="H7" i="2"/>
  <c r="H42" i="2"/>
  <c r="H30" i="2"/>
  <c r="H18" i="2"/>
  <c r="H49" i="2"/>
  <c r="H25" i="2"/>
  <c r="H24" i="2"/>
  <c r="H37" i="2"/>
  <c r="H36" i="2"/>
  <c r="J3" i="2"/>
  <c r="I3" i="2"/>
  <c r="H3" i="2"/>
  <c r="G16" i="2"/>
  <c r="G39" i="2"/>
  <c r="G40" i="2"/>
  <c r="G28" i="2"/>
  <c r="G52" i="2"/>
  <c r="G27" i="2"/>
  <c r="G15" i="2"/>
  <c r="G51" i="2"/>
  <c r="G4" i="2"/>
  <c r="G50" i="2"/>
  <c r="G14" i="2"/>
  <c r="G13" i="2"/>
  <c r="G48" i="2"/>
  <c r="G12" i="2"/>
  <c r="G47" i="2"/>
  <c r="G11" i="2"/>
  <c r="G46" i="2"/>
  <c r="G10" i="2"/>
  <c r="G45" i="2"/>
  <c r="G9" i="2"/>
  <c r="G8" i="2"/>
  <c r="G43" i="2"/>
  <c r="G31" i="2"/>
  <c r="G19" i="2"/>
  <c r="G7" i="2"/>
  <c r="G26" i="2"/>
  <c r="G25" i="2"/>
  <c r="G36" i="2"/>
  <c r="G35" i="2"/>
  <c r="G34" i="2"/>
  <c r="G21" i="2"/>
  <c r="G32" i="2"/>
  <c r="G42" i="2"/>
  <c r="G30" i="2"/>
  <c r="G18" i="2"/>
  <c r="G6" i="2"/>
  <c r="G38" i="2"/>
  <c r="G49" i="2"/>
  <c r="G37" i="2"/>
  <c r="G24" i="2"/>
  <c r="G23" i="2"/>
  <c r="G22" i="2"/>
  <c r="G33" i="2"/>
  <c r="G44" i="2"/>
  <c r="G20" i="2"/>
  <c r="G41" i="2"/>
  <c r="G29" i="2"/>
  <c r="G17" i="2"/>
  <c r="G5" i="2"/>
  <c r="G3" i="2"/>
  <c r="J53" i="2" l="1"/>
  <c r="G53" i="2"/>
  <c r="H53" i="2"/>
  <c r="I53" i="2"/>
  <c r="F53" i="2"/>
</calcChain>
</file>

<file path=xl/sharedStrings.xml><?xml version="1.0" encoding="utf-8"?>
<sst xmlns="http://schemas.openxmlformats.org/spreadsheetml/2006/main" count="169" uniqueCount="82">
  <si>
    <t>Invoice_No</t>
  </si>
  <si>
    <t>Customer_Name</t>
  </si>
  <si>
    <t>Invoice_Date</t>
  </si>
  <si>
    <t>Due_Date</t>
  </si>
  <si>
    <t>Terms</t>
  </si>
  <si>
    <t>Invoice_Amount</t>
  </si>
  <si>
    <t>Payment_Amount</t>
  </si>
  <si>
    <t>Balance</t>
  </si>
  <si>
    <t>INV-1001</t>
  </si>
  <si>
    <t>ABC Motors Ltd</t>
  </si>
  <si>
    <t>Net 30</t>
  </si>
  <si>
    <t>INV-1002</t>
  </si>
  <si>
    <t>XYZ Repairs Inc</t>
  </si>
  <si>
    <t>INV-1003</t>
  </si>
  <si>
    <t>Quick Auto Service</t>
  </si>
  <si>
    <t>INV-1004</t>
  </si>
  <si>
    <t>Fleet Management Co</t>
  </si>
  <si>
    <t>Net 60</t>
  </si>
  <si>
    <t>INV-1005</t>
  </si>
  <si>
    <t>Downtown Dealership</t>
  </si>
  <si>
    <t>INV-1006</t>
  </si>
  <si>
    <t>INV-1007</t>
  </si>
  <si>
    <t>City Transit Authority</t>
  </si>
  <si>
    <t>INV-1008</t>
  </si>
  <si>
    <t>Superior Auto Group</t>
  </si>
  <si>
    <t>INV-1009</t>
  </si>
  <si>
    <t>Metro Car Rental</t>
  </si>
  <si>
    <t>INV-1010</t>
  </si>
  <si>
    <t>INV-1011</t>
  </si>
  <si>
    <t>Express Delivery Co</t>
  </si>
  <si>
    <t>INV-1012</t>
  </si>
  <si>
    <t>Rideshare Fleet Ltd</t>
  </si>
  <si>
    <t>INV-1013</t>
  </si>
  <si>
    <t>Budget Rent-a-Car</t>
  </si>
  <si>
    <t>INV-1014</t>
  </si>
  <si>
    <t>Premier Logistics</t>
  </si>
  <si>
    <t>INV-1015</t>
  </si>
  <si>
    <t>INV-1016</t>
  </si>
  <si>
    <t>Tech Transport Inc</t>
  </si>
  <si>
    <t>INV-1017</t>
  </si>
  <si>
    <t>INV-1018</t>
  </si>
  <si>
    <t>Elite Car Service</t>
  </si>
  <si>
    <t>INV-1019</t>
  </si>
  <si>
    <t>INV-1020</t>
  </si>
  <si>
    <t>Global Shipping Corp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</si>
  <si>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</si>
  <si>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</si>
  <si>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</si>
  <si>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</si>
  <si>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</si>
  <si>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</si>
  <si>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</si>
  <si>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</si>
  <si>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</si>
  <si>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</si>
  <si>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</si>
  <si>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</si>
  <si>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</si>
  <si>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</si>
  <si>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</si>
  <si>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</si>
  <si>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</si>
  <si>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</si>
  <si>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</si>
  <si>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</si>
  <si>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</si>
  <si>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</si>
  <si>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</si>
  <si>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</si>
  <si>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</si>
  <si>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</si>
  <si>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</si>
  <si>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</si>
  <si>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</si>
  <si>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</si>
  <si>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Days_Old</t>
  </si>
  <si>
    <t>Current</t>
  </si>
  <si>
    <t>1-30_Days</t>
  </si>
  <si>
    <t>31-60_Days</t>
  </si>
  <si>
    <t>61-90_Days</t>
  </si>
  <si>
    <t>Over_90_Days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</si>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</sst>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2" fontId="2" fillId="0" borderId="0" xfId="0" applyNumberFormat="1" applyFont="1"/>
    <xf numFmtId="44" fontId="2" fillId="0" borderId="0" xfId="1" applyFont="1"/>
    <xf numFmtId="4" fontId="3" fillId="0" borderId="0" xfId="0" applyNumberFormat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4" formatCode="#,##0.00"/>
    </dxf>
    <dxf>
      <numFmt numFmtId="4" formatCode="#,##0.00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853D7-523F-43C4-B448-C06289310834}" name="tbl_AR" displayName="tbl_AR" ref="A2:H52" totalsRowShown="0">
  <autoFilter ref="A2:H52" xr:uid="{41E853D7-523F-43C4-B448-C062893108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428EBD4-BF32-462D-94E6-79EC12CDB864}" name="Invoice_No"/>
    <tableColumn id="2" xr3:uid="{15E6FCE8-0474-4367-BD84-F3825201E8C4}" name="Customer_Name"/>
    <tableColumn id="3" xr3:uid="{18839B7F-A1D9-47CF-9CE6-DA4C404E9805}" name="Invoice_Date" dataDxfId="20"/>
    <tableColumn id="4" xr3:uid="{ADB06A13-E180-45E1-8B9A-D96741ED26E1}" name="Due_Date" dataDxfId="19"/>
    <tableColumn id="5" xr3:uid="{6D47C3CD-233F-46FA-A60A-F4BB0BA8A6B3}" name="Terms"/>
    <tableColumn id="6" xr3:uid="{BFC9C7FA-17FE-428B-AFCF-0CB8D6B1EF21}" name="Invoice_Amount" dataDxfId="18"/>
    <tableColumn id="7" xr3:uid="{7086518A-A00B-4E13-88D5-7D579979A564}" name="Payment_Amount"/>
    <tableColumn id="8" xr3:uid="{C918433F-08C2-4E3F-82F8-5C1DED2F853D}" name="Balance" dataDxfId="17">
      <calculatedColumnFormula>tbl_AR[[#This Row],[Invoice_Amount]]-tbl_AR[[#This Row],[Payment_Amount]]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B8C88-01AD-4C54-B521-DB60A7FFFAC0}" name="Table2" displayName="Table2" ref="A2:J53" totalsRowCount="1" totalsRowDxfId="16">
  <autoFilter ref="A2:J52" xr:uid="{D00B8C88-01AD-4C54-B521-DB60A7FFFA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AEB0E79-30D3-4B8C-BA1E-55C00421F534}" name="Invoice_No" totalsRowLabel="Total" totalsRowDxfId="15">
      <calculatedColumnFormula>tbl_AR[[#This Row],[Invoice_No]]</calculatedColumnFormula>
    </tableColumn>
    <tableColumn id="2" xr3:uid="{F27C0E2F-7748-4889-9ECC-64975A3F3E28}" name="Customer_Name" totalsRowFunction="custom" totalsRowDxfId="14" totalsRowCellStyle="Currency">
      <calculatedColumnFormula>tbl_AR[[#This Row],[Customer_Name]]</calculatedColumnFormula>
      <totalsRowFormula>SUMIF(tbl_AR[Balance],"&gt;0")</totalsRowFormula>
    </tableColumn>
    <tableColumn id="3" xr3:uid="{CE205B0B-E804-4E87-B590-199500F87D41}" name="Balance" totalsRowDxfId="13" totalsRowCellStyle="Currency">
      <calculatedColumnFormula>tbl_AR[[#This Row],[Balance]]</calculatedColumnFormula>
    </tableColumn>
    <tableColumn id="4" xr3:uid="{12D00F6D-74C6-4404-8BE3-6FF25770EE1E}" name="Invoice_Date" totalsRowDxfId="12" totalsRowCellStyle="Currency">
      <calculatedColumnFormula>tbl_AR[[#This Row],[Invoice_Date]]</calculatedColumnFormula>
    </tableColumn>
    <tableColumn id="5" xr3:uid="{5AD80139-9809-4ADF-975C-66EF59F376D3}" name="Days_Old" dataDxfId="11" totalsRowDxfId="10" totalsRowCellStyle="Currency">
      <calculatedColumnFormula>INT(TODAY()-Table2[[#This Row],[Invoice_Date]])</calculatedColumnFormula>
    </tableColumn>
    <tableColumn id="6" xr3:uid="{509D3A77-EC6E-498D-989E-FA92B24ABADB}" name="Current" totalsRowFunction="custom" dataDxfId="9" totalsRowDxfId="8" totalsRowCellStyle="Currency">
      <calculatedColumnFormula>IF(Table2[[#This Row],[Days_Old]]&lt;=30,Table2[[#This Row],[Balance]],0)</calculatedColumnFormula>
      <totalsRowFormula>SUM(F3:F52)</totalsRowFormula>
    </tableColumn>
    <tableColumn id="7" xr3:uid="{8876D756-321C-4EDA-BDB5-19B5B24DE9D1}" name="1-30_Days" totalsRowFunction="custom" dataDxfId="7" totalsRowDxfId="6" totalsRowCellStyle="Currency">
      <calculatedColumnFormula>IF(AND(Table2[[#This Row],[Days_Old]]&gt;30,Table2[[#This Row],[Days_Old]]&lt;=60),Table2[[#This Row],[Balance]],0)</calculatedColumnFormula>
      <totalsRowFormula>SUM(G3:G52)</totalsRowFormula>
    </tableColumn>
    <tableColumn id="8" xr3:uid="{D0BBA4B1-D7D7-411B-A5FB-604ECA618BF3}" name="31-60_Days" totalsRowFunction="custom" dataDxfId="5" totalsRowDxfId="4" totalsRowCellStyle="Currency">
      <calculatedColumnFormula>IF(AND(E3&gt;30,E3&lt;=60),Table2[[#This Row],[Balance]],0)</calculatedColumnFormula>
      <totalsRowFormula>SUM(H3:H52)</totalsRowFormula>
    </tableColumn>
    <tableColumn id="9" xr3:uid="{D3A2DBA8-E125-456E-ABF9-CD671942C9EF}" name="61-90_Days" totalsRowFunction="custom" dataDxfId="3" totalsRowDxfId="2" totalsRowCellStyle="Currency">
      <calculatedColumnFormula>IF(AND(E3&gt;90,E3&lt;=120),C3,0)</calculatedColumnFormula>
      <totalsRowFormula>SUM(I3:I52)</totalsRowFormula>
    </tableColumn>
    <tableColumn id="10" xr3:uid="{3820B5E7-C141-43E3-9389-C52496033D2C}" name="Over_90_Days" totalsRowFunction="custom" dataDxfId="1" totalsRowDxfId="0" totalsRowCellStyle="Currency">
      <calculatedColumnFormula>IF(E3&gt;120,C3,0)</calculatedColumnFormula>
      <totalsRowFormula>SUM(J3:J52)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634A-50B4-4593-A837-165E1D11599F}">
  <dimension ref="A2:H52"/>
  <sheetViews>
    <sheetView workbookViewId="0">
      <selection activeCell="L6" sqref="L6"/>
    </sheetView>
  </sheetViews>
  <sheetFormatPr defaultRowHeight="14.4" x14ac:dyDescent="0.3"/>
  <cols>
    <col min="1" max="1" width="12" customWidth="1"/>
    <col min="2" max="2" width="16.77734375" customWidth="1"/>
    <col min="3" max="3" width="13.5546875" customWidth="1"/>
    <col min="4" max="4" width="10.77734375" customWidth="1"/>
    <col min="6" max="6" width="16.109375" customWidth="1"/>
    <col min="7" max="7" width="17.44140625" customWidth="1"/>
    <col min="8" max="8" width="9.5546875" customWidth="1"/>
  </cols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9</v>
      </c>
      <c r="C3" s="1">
        <v>45976</v>
      </c>
      <c r="D3" s="1">
        <v>46006</v>
      </c>
      <c r="E3" t="s">
        <v>10</v>
      </c>
      <c r="F3" s="2">
        <v>12500</v>
      </c>
      <c r="G3" s="2">
        <v>12500</v>
      </c>
      <c r="H3" s="5">
        <f>tbl_AR[[#This Row],[Invoice_Amount]]-tbl_AR[[#This Row],[Payment_Amount]]</f>
        <v>0</v>
      </c>
    </row>
    <row r="4" spans="1:8" x14ac:dyDescent="0.3">
      <c r="A4" t="s">
        <v>11</v>
      </c>
      <c r="B4" t="s">
        <v>12</v>
      </c>
      <c r="C4" s="1">
        <v>45950</v>
      </c>
      <c r="D4" s="1">
        <v>45980</v>
      </c>
      <c r="E4" t="s">
        <v>10</v>
      </c>
      <c r="F4" s="2">
        <v>3200</v>
      </c>
      <c r="G4">
        <v>0</v>
      </c>
      <c r="H4" s="5">
        <f>tbl_AR[[#This Row],[Invoice_Amount]]-tbl_AR[[#This Row],[Payment_Amount]]</f>
        <v>3200</v>
      </c>
    </row>
    <row r="5" spans="1:8" x14ac:dyDescent="0.3">
      <c r="A5" t="s">
        <v>13</v>
      </c>
      <c r="B5" t="s">
        <v>14</v>
      </c>
      <c r="C5" s="1">
        <v>45986</v>
      </c>
      <c r="D5" s="1">
        <v>46016</v>
      </c>
      <c r="E5" t="s">
        <v>10</v>
      </c>
      <c r="F5" s="2">
        <v>8900</v>
      </c>
      <c r="G5" s="2">
        <v>4000</v>
      </c>
      <c r="H5" s="5">
        <f>tbl_AR[[#This Row],[Invoice_Amount]]-tbl_AR[[#This Row],[Payment_Amount]]</f>
        <v>4900</v>
      </c>
    </row>
    <row r="6" spans="1:8" x14ac:dyDescent="0.3">
      <c r="A6" t="s">
        <v>15</v>
      </c>
      <c r="B6" t="s">
        <v>16</v>
      </c>
      <c r="C6" s="1">
        <v>45915</v>
      </c>
      <c r="D6" s="1">
        <v>45975</v>
      </c>
      <c r="E6" t="s">
        <v>17</v>
      </c>
      <c r="F6" s="2">
        <v>25000</v>
      </c>
      <c r="G6">
        <v>0</v>
      </c>
      <c r="H6" s="5">
        <f>tbl_AR[[#This Row],[Invoice_Amount]]-tbl_AR[[#This Row],[Payment_Amount]]</f>
        <v>25000</v>
      </c>
    </row>
    <row r="7" spans="1:8" x14ac:dyDescent="0.3">
      <c r="A7" t="s">
        <v>18</v>
      </c>
      <c r="B7" t="s">
        <v>19</v>
      </c>
      <c r="C7" s="1">
        <v>45992</v>
      </c>
      <c r="D7" s="1">
        <v>46022</v>
      </c>
      <c r="E7" t="s">
        <v>10</v>
      </c>
      <c r="F7" s="2">
        <v>15600</v>
      </c>
      <c r="G7">
        <v>0</v>
      </c>
      <c r="H7" s="5">
        <f>tbl_AR[[#This Row],[Invoice_Amount]]-tbl_AR[[#This Row],[Payment_Amount]]</f>
        <v>15600</v>
      </c>
    </row>
    <row r="8" spans="1:8" x14ac:dyDescent="0.3">
      <c r="A8" t="s">
        <v>20</v>
      </c>
      <c r="B8" t="s">
        <v>9</v>
      </c>
      <c r="C8" s="1">
        <v>45879</v>
      </c>
      <c r="D8" s="1">
        <v>45909</v>
      </c>
      <c r="E8" t="s">
        <v>10</v>
      </c>
      <c r="F8" s="2">
        <v>4200</v>
      </c>
      <c r="G8">
        <v>0</v>
      </c>
      <c r="H8" s="5">
        <f>tbl_AR[[#This Row],[Invoice_Amount]]-tbl_AR[[#This Row],[Payment_Amount]]</f>
        <v>4200</v>
      </c>
    </row>
    <row r="9" spans="1:8" x14ac:dyDescent="0.3">
      <c r="A9" t="s">
        <v>21</v>
      </c>
      <c r="B9" t="s">
        <v>22</v>
      </c>
      <c r="C9" s="1">
        <v>45935</v>
      </c>
      <c r="D9" s="1">
        <v>45965</v>
      </c>
      <c r="E9" t="s">
        <v>10</v>
      </c>
      <c r="F9" s="2">
        <v>18500</v>
      </c>
      <c r="G9">
        <v>0</v>
      </c>
      <c r="H9" s="5">
        <f>tbl_AR[[#This Row],[Invoice_Amount]]-tbl_AR[[#This Row],[Payment_Amount]]</f>
        <v>18500</v>
      </c>
    </row>
    <row r="10" spans="1:8" x14ac:dyDescent="0.3">
      <c r="A10" t="s">
        <v>23</v>
      </c>
      <c r="B10" t="s">
        <v>24</v>
      </c>
      <c r="C10" s="1">
        <v>45981</v>
      </c>
      <c r="D10" s="1">
        <v>46011</v>
      </c>
      <c r="E10" t="s">
        <v>10</v>
      </c>
      <c r="F10" s="2">
        <v>9800</v>
      </c>
      <c r="G10" s="2">
        <v>9800</v>
      </c>
      <c r="H10" s="5">
        <f>tbl_AR[[#This Row],[Invoice_Amount]]-tbl_AR[[#This Row],[Payment_Amount]]</f>
        <v>0</v>
      </c>
    </row>
    <row r="11" spans="1:8" x14ac:dyDescent="0.3">
      <c r="A11" t="s">
        <v>25</v>
      </c>
      <c r="B11" t="s">
        <v>26</v>
      </c>
      <c r="C11" s="1">
        <v>45928</v>
      </c>
      <c r="D11" s="1">
        <v>45958</v>
      </c>
      <c r="E11" t="s">
        <v>10</v>
      </c>
      <c r="F11" s="2">
        <v>14300</v>
      </c>
      <c r="G11">
        <v>0</v>
      </c>
      <c r="H11" s="5">
        <f>tbl_AR[[#This Row],[Invoice_Amount]]-tbl_AR[[#This Row],[Payment_Amount]]</f>
        <v>14300</v>
      </c>
    </row>
    <row r="12" spans="1:8" x14ac:dyDescent="0.3">
      <c r="A12" t="s">
        <v>27</v>
      </c>
      <c r="B12" t="s">
        <v>9</v>
      </c>
      <c r="C12" s="1">
        <v>45996</v>
      </c>
      <c r="D12" s="1">
        <v>45661</v>
      </c>
      <c r="E12" t="s">
        <v>10</v>
      </c>
      <c r="F12" s="2">
        <v>6750</v>
      </c>
      <c r="G12">
        <v>0</v>
      </c>
      <c r="H12" s="5">
        <f>tbl_AR[[#This Row],[Invoice_Amount]]-tbl_AR[[#This Row],[Payment_Amount]]</f>
        <v>6750</v>
      </c>
    </row>
    <row r="13" spans="1:8" x14ac:dyDescent="0.3">
      <c r="A13" t="s">
        <v>28</v>
      </c>
      <c r="B13" t="s">
        <v>29</v>
      </c>
      <c r="C13" s="1">
        <v>45971</v>
      </c>
      <c r="D13" s="1">
        <v>46001</v>
      </c>
      <c r="E13" t="s">
        <v>10</v>
      </c>
      <c r="F13" s="2">
        <v>11200</v>
      </c>
      <c r="G13" s="2">
        <v>5000</v>
      </c>
      <c r="H13" s="5">
        <f>tbl_AR[[#This Row],[Invoice_Amount]]-tbl_AR[[#This Row],[Payment_Amount]]</f>
        <v>6200</v>
      </c>
    </row>
    <row r="14" spans="1:8" x14ac:dyDescent="0.3">
      <c r="A14" t="s">
        <v>30</v>
      </c>
      <c r="B14" t="s">
        <v>31</v>
      </c>
      <c r="C14" s="1">
        <v>45945</v>
      </c>
      <c r="D14" s="1">
        <v>45975</v>
      </c>
      <c r="E14" t="s">
        <v>10</v>
      </c>
      <c r="F14" s="2">
        <v>22400</v>
      </c>
      <c r="G14">
        <v>0</v>
      </c>
      <c r="H14" s="5">
        <f>tbl_AR[[#This Row],[Invoice_Amount]]-tbl_AR[[#This Row],[Payment_Amount]]</f>
        <v>22400</v>
      </c>
    </row>
    <row r="15" spans="1:8" x14ac:dyDescent="0.3">
      <c r="A15" t="s">
        <v>32</v>
      </c>
      <c r="B15" t="s">
        <v>33</v>
      </c>
      <c r="C15" s="1">
        <v>45989</v>
      </c>
      <c r="D15" s="1">
        <v>46019</v>
      </c>
      <c r="E15" t="s">
        <v>10</v>
      </c>
      <c r="F15" s="2">
        <v>8950</v>
      </c>
      <c r="G15">
        <v>0</v>
      </c>
      <c r="H15" s="5">
        <f>tbl_AR[[#This Row],[Invoice_Amount]]-tbl_AR[[#This Row],[Payment_Amount]]</f>
        <v>8950</v>
      </c>
    </row>
    <row r="16" spans="1:8" x14ac:dyDescent="0.3">
      <c r="A16" t="s">
        <v>34</v>
      </c>
      <c r="B16" t="s">
        <v>35</v>
      </c>
      <c r="C16" s="1">
        <v>45905</v>
      </c>
      <c r="D16" s="1">
        <v>45935</v>
      </c>
      <c r="E16" t="s">
        <v>10</v>
      </c>
      <c r="F16" s="2">
        <v>16800</v>
      </c>
      <c r="G16">
        <v>0</v>
      </c>
      <c r="H16" s="5">
        <f>tbl_AR[[#This Row],[Invoice_Amount]]-tbl_AR[[#This Row],[Payment_Amount]]</f>
        <v>16800</v>
      </c>
    </row>
    <row r="17" spans="1:8" x14ac:dyDescent="0.3">
      <c r="A17" t="s">
        <v>36</v>
      </c>
      <c r="B17" t="s">
        <v>14</v>
      </c>
      <c r="C17" s="1">
        <v>45999</v>
      </c>
      <c r="D17" s="1">
        <v>45664</v>
      </c>
      <c r="E17" t="s">
        <v>10</v>
      </c>
      <c r="F17" s="2">
        <v>5400</v>
      </c>
      <c r="G17">
        <v>0</v>
      </c>
      <c r="H17" s="5">
        <f>tbl_AR[[#This Row],[Invoice_Amount]]-tbl_AR[[#This Row],[Payment_Amount]]</f>
        <v>5400</v>
      </c>
    </row>
    <row r="18" spans="1:8" x14ac:dyDescent="0.3">
      <c r="A18" t="s">
        <v>37</v>
      </c>
      <c r="B18" t="s">
        <v>38</v>
      </c>
      <c r="C18" s="1">
        <v>45960</v>
      </c>
      <c r="D18" s="1">
        <v>45990</v>
      </c>
      <c r="E18" t="s">
        <v>10</v>
      </c>
      <c r="F18" s="2">
        <v>7650</v>
      </c>
      <c r="G18">
        <v>0</v>
      </c>
      <c r="H18" s="5">
        <f>tbl_AR[[#This Row],[Invoice_Amount]]-tbl_AR[[#This Row],[Payment_Amount]]</f>
        <v>7650</v>
      </c>
    </row>
    <row r="19" spans="1:8" x14ac:dyDescent="0.3">
      <c r="A19" t="s">
        <v>39</v>
      </c>
      <c r="B19" t="s">
        <v>22</v>
      </c>
      <c r="C19" s="1">
        <v>45983</v>
      </c>
      <c r="D19" s="1">
        <v>46013</v>
      </c>
      <c r="E19" t="s">
        <v>10</v>
      </c>
      <c r="F19" s="2">
        <v>19200</v>
      </c>
      <c r="G19">
        <v>0</v>
      </c>
      <c r="H19" s="5">
        <f>tbl_AR[[#This Row],[Invoice_Amount]]-tbl_AR[[#This Row],[Payment_Amount]]</f>
        <v>19200</v>
      </c>
    </row>
    <row r="20" spans="1:8" x14ac:dyDescent="0.3">
      <c r="A20" t="s">
        <v>40</v>
      </c>
      <c r="B20" t="s">
        <v>41</v>
      </c>
      <c r="C20" s="1">
        <v>45894</v>
      </c>
      <c r="D20" s="1">
        <v>45924</v>
      </c>
      <c r="E20" t="s">
        <v>10</v>
      </c>
      <c r="F20" s="2">
        <v>3950</v>
      </c>
      <c r="G20">
        <v>0</v>
      </c>
      <c r="H20" s="5">
        <f>tbl_AR[[#This Row],[Invoice_Amount]]-tbl_AR[[#This Row],[Payment_Amount]]</f>
        <v>3950</v>
      </c>
    </row>
    <row r="21" spans="1:8" x14ac:dyDescent="0.3">
      <c r="A21" t="s">
        <v>42</v>
      </c>
      <c r="B21" t="s">
        <v>19</v>
      </c>
      <c r="C21" s="1">
        <v>45973</v>
      </c>
      <c r="D21" s="1">
        <v>46003</v>
      </c>
      <c r="E21" t="s">
        <v>10</v>
      </c>
      <c r="F21" s="2">
        <v>13800</v>
      </c>
      <c r="G21" s="2">
        <v>13800</v>
      </c>
      <c r="H21" s="5">
        <f>tbl_AR[[#This Row],[Invoice_Amount]]-tbl_AR[[#This Row],[Payment_Amount]]</f>
        <v>0</v>
      </c>
    </row>
    <row r="22" spans="1:8" x14ac:dyDescent="0.3">
      <c r="A22" t="s">
        <v>43</v>
      </c>
      <c r="B22" t="s">
        <v>44</v>
      </c>
      <c r="C22" s="1">
        <v>45948</v>
      </c>
      <c r="D22" s="1">
        <v>45978</v>
      </c>
      <c r="E22" t="s">
        <v>10</v>
      </c>
      <c r="F22" s="2">
        <v>28500</v>
      </c>
      <c r="G22">
        <v>0</v>
      </c>
      <c r="H22" s="5">
        <f>tbl_AR[[#This Row],[Invoice_Amount]]-tbl_AR[[#This Row],[Payment_Amount]]</f>
        <v>28500</v>
      </c>
    </row>
    <row r="23" spans="1:8" x14ac:dyDescent="0.3">
      <c r="A23" t="s">
        <v>45</v>
      </c>
      <c r="B23" t="s">
        <v>9</v>
      </c>
      <c r="C23" s="1">
        <v>45991</v>
      </c>
      <c r="D23" s="1">
        <v>46021</v>
      </c>
      <c r="E23" t="s">
        <v>10</v>
      </c>
      <c r="F23" s="2">
        <v>9100</v>
      </c>
      <c r="G23">
        <v>0</v>
      </c>
      <c r="H23" s="5">
        <f>tbl_AR[[#This Row],[Invoice_Amount]]-tbl_AR[[#This Row],[Payment_Amount]]</f>
        <v>9100</v>
      </c>
    </row>
    <row r="24" spans="1:8" x14ac:dyDescent="0.3">
      <c r="A24" t="s">
        <v>46</v>
      </c>
      <c r="B24" t="s">
        <v>26</v>
      </c>
      <c r="C24" s="1">
        <v>45994</v>
      </c>
      <c r="D24" s="1">
        <v>45659</v>
      </c>
      <c r="E24" t="s">
        <v>10</v>
      </c>
      <c r="F24" s="2">
        <v>12300</v>
      </c>
      <c r="G24">
        <v>0</v>
      </c>
      <c r="H24" s="5">
        <f>tbl_AR[[#This Row],[Invoice_Amount]]-tbl_AR[[#This Row],[Payment_Amount]]</f>
        <v>12300</v>
      </c>
    </row>
    <row r="25" spans="1:8" x14ac:dyDescent="0.3">
      <c r="A25" t="s">
        <v>47</v>
      </c>
      <c r="B25" t="s">
        <v>24</v>
      </c>
      <c r="C25" s="1">
        <v>45920</v>
      </c>
      <c r="D25" s="1">
        <v>45950</v>
      </c>
      <c r="E25" t="s">
        <v>10</v>
      </c>
      <c r="F25" s="2">
        <v>21700</v>
      </c>
      <c r="G25">
        <v>0</v>
      </c>
      <c r="H25" s="5">
        <f>tbl_AR[[#This Row],[Invoice_Amount]]-tbl_AR[[#This Row],[Payment_Amount]]</f>
        <v>21700</v>
      </c>
    </row>
    <row r="26" spans="1:8" x14ac:dyDescent="0.3">
      <c r="A26" t="s">
        <v>48</v>
      </c>
      <c r="B26" t="s">
        <v>12</v>
      </c>
      <c r="C26" s="1">
        <v>45979</v>
      </c>
      <c r="D26" s="1">
        <v>46009</v>
      </c>
      <c r="E26" t="s">
        <v>10</v>
      </c>
      <c r="F26" s="2">
        <v>4850</v>
      </c>
      <c r="G26">
        <v>0</v>
      </c>
      <c r="H26" s="5">
        <f>tbl_AR[[#This Row],[Invoice_Amount]]-tbl_AR[[#This Row],[Payment_Amount]]</f>
        <v>4850</v>
      </c>
    </row>
    <row r="27" spans="1:8" x14ac:dyDescent="0.3">
      <c r="A27" t="s">
        <v>49</v>
      </c>
      <c r="B27" t="s">
        <v>16</v>
      </c>
      <c r="C27" s="1">
        <v>45997</v>
      </c>
      <c r="D27" s="1">
        <v>45662</v>
      </c>
      <c r="E27" t="s">
        <v>10</v>
      </c>
      <c r="F27" s="2">
        <v>17900</v>
      </c>
      <c r="G27">
        <v>0</v>
      </c>
      <c r="H27" s="5">
        <f>tbl_AR[[#This Row],[Invoice_Amount]]-tbl_AR[[#This Row],[Payment_Amount]]</f>
        <v>17900</v>
      </c>
    </row>
    <row r="28" spans="1:8" x14ac:dyDescent="0.3">
      <c r="A28" t="s">
        <v>50</v>
      </c>
      <c r="B28" t="s">
        <v>29</v>
      </c>
      <c r="C28" s="1">
        <v>45955</v>
      </c>
      <c r="D28" s="1">
        <v>45985</v>
      </c>
      <c r="E28" t="s">
        <v>10</v>
      </c>
      <c r="F28" s="2">
        <v>8200</v>
      </c>
      <c r="G28">
        <v>0</v>
      </c>
      <c r="H28" s="5">
        <f>tbl_AR[[#This Row],[Invoice_Amount]]-tbl_AR[[#This Row],[Payment_Amount]]</f>
        <v>8200</v>
      </c>
    </row>
    <row r="29" spans="1:8" x14ac:dyDescent="0.3">
      <c r="A29" t="s">
        <v>51</v>
      </c>
      <c r="B29" t="s">
        <v>33</v>
      </c>
      <c r="C29" s="1">
        <v>46000</v>
      </c>
      <c r="D29" s="1">
        <v>45665</v>
      </c>
      <c r="E29" t="s">
        <v>10</v>
      </c>
      <c r="F29" s="2">
        <v>6500</v>
      </c>
      <c r="G29">
        <v>0</v>
      </c>
      <c r="H29" s="5">
        <f>tbl_AR[[#This Row],[Invoice_Amount]]-tbl_AR[[#This Row],[Payment_Amount]]</f>
        <v>6500</v>
      </c>
    </row>
    <row r="30" spans="1:8" x14ac:dyDescent="0.3">
      <c r="A30" t="s">
        <v>52</v>
      </c>
      <c r="B30" t="s">
        <v>35</v>
      </c>
      <c r="C30" s="1">
        <v>45966</v>
      </c>
      <c r="D30" s="1">
        <v>45996</v>
      </c>
      <c r="E30" t="s">
        <v>10</v>
      </c>
      <c r="F30" s="2">
        <v>14600</v>
      </c>
      <c r="G30" s="2">
        <v>7000</v>
      </c>
      <c r="H30" s="5">
        <f>tbl_AR[[#This Row],[Invoice_Amount]]-tbl_AR[[#This Row],[Payment_Amount]]</f>
        <v>7600</v>
      </c>
    </row>
    <row r="31" spans="1:8" x14ac:dyDescent="0.3">
      <c r="A31" t="s">
        <v>53</v>
      </c>
      <c r="B31" t="s">
        <v>31</v>
      </c>
      <c r="C31" s="1">
        <v>45912</v>
      </c>
      <c r="D31" s="1">
        <v>45942</v>
      </c>
      <c r="E31" t="s">
        <v>10</v>
      </c>
      <c r="F31" s="2">
        <v>25800</v>
      </c>
      <c r="G31">
        <v>0</v>
      </c>
      <c r="H31" s="5">
        <f>tbl_AR[[#This Row],[Invoice_Amount]]-tbl_AR[[#This Row],[Payment_Amount]]</f>
        <v>25800</v>
      </c>
    </row>
    <row r="32" spans="1:8" x14ac:dyDescent="0.3">
      <c r="A32" t="s">
        <v>54</v>
      </c>
      <c r="B32" t="s">
        <v>38</v>
      </c>
      <c r="C32" s="1">
        <v>45988</v>
      </c>
      <c r="D32" s="1">
        <v>46018</v>
      </c>
      <c r="E32" t="s">
        <v>10</v>
      </c>
      <c r="F32" s="2">
        <v>10400</v>
      </c>
      <c r="G32">
        <v>0</v>
      </c>
      <c r="H32" s="5">
        <f>tbl_AR[[#This Row],[Invoice_Amount]]-tbl_AR[[#This Row],[Payment_Amount]]</f>
        <v>10400</v>
      </c>
    </row>
    <row r="33" spans="1:8" x14ac:dyDescent="0.3">
      <c r="A33" t="s">
        <v>55</v>
      </c>
      <c r="B33" t="s">
        <v>14</v>
      </c>
      <c r="C33" s="1">
        <v>45938</v>
      </c>
      <c r="D33" s="1">
        <v>45968</v>
      </c>
      <c r="E33" t="s">
        <v>10</v>
      </c>
      <c r="F33" s="2">
        <v>7900</v>
      </c>
      <c r="G33">
        <v>0</v>
      </c>
      <c r="H33" s="5">
        <f>tbl_AR[[#This Row],[Invoice_Amount]]-tbl_AR[[#This Row],[Payment_Amount]]</f>
        <v>7900</v>
      </c>
    </row>
    <row r="34" spans="1:8" x14ac:dyDescent="0.3">
      <c r="A34" t="s">
        <v>56</v>
      </c>
      <c r="B34" t="s">
        <v>41</v>
      </c>
      <c r="C34" s="1">
        <v>45993</v>
      </c>
      <c r="D34" s="1">
        <v>45658</v>
      </c>
      <c r="E34" t="s">
        <v>10</v>
      </c>
      <c r="F34" s="2">
        <v>5750</v>
      </c>
      <c r="G34">
        <v>0</v>
      </c>
      <c r="H34" s="5">
        <f>tbl_AR[[#This Row],[Invoice_Amount]]-tbl_AR[[#This Row],[Payment_Amount]]</f>
        <v>5750</v>
      </c>
    </row>
    <row r="35" spans="1:8" x14ac:dyDescent="0.3">
      <c r="A35" t="s">
        <v>57</v>
      </c>
      <c r="B35" t="s">
        <v>22</v>
      </c>
      <c r="C35" s="1">
        <v>45930</v>
      </c>
      <c r="D35" s="1">
        <v>45960</v>
      </c>
      <c r="E35" t="s">
        <v>10</v>
      </c>
      <c r="F35" s="2">
        <v>32100</v>
      </c>
      <c r="G35">
        <v>0</v>
      </c>
      <c r="H35" s="5">
        <f>tbl_AR[[#This Row],[Invoice_Amount]]-tbl_AR[[#This Row],[Payment_Amount]]</f>
        <v>32100</v>
      </c>
    </row>
    <row r="36" spans="1:8" x14ac:dyDescent="0.3">
      <c r="A36" t="s">
        <v>58</v>
      </c>
      <c r="B36" t="s">
        <v>44</v>
      </c>
      <c r="C36" s="1">
        <v>45976</v>
      </c>
      <c r="D36" s="1">
        <v>46006</v>
      </c>
      <c r="E36" t="s">
        <v>10</v>
      </c>
      <c r="F36" s="2">
        <v>19800</v>
      </c>
      <c r="G36">
        <v>0</v>
      </c>
      <c r="H36" s="5">
        <f>tbl_AR[[#This Row],[Invoice_Amount]]-tbl_AR[[#This Row],[Payment_Amount]]</f>
        <v>19800</v>
      </c>
    </row>
    <row r="37" spans="1:8" x14ac:dyDescent="0.3">
      <c r="A37" t="s">
        <v>59</v>
      </c>
      <c r="B37" t="s">
        <v>19</v>
      </c>
      <c r="C37" s="1">
        <v>45952</v>
      </c>
      <c r="D37" s="1">
        <v>45982</v>
      </c>
      <c r="E37" t="s">
        <v>10</v>
      </c>
      <c r="F37" s="2">
        <v>11500</v>
      </c>
      <c r="G37">
        <v>0</v>
      </c>
      <c r="H37" s="5">
        <f>tbl_AR[[#This Row],[Invoice_Amount]]-tbl_AR[[#This Row],[Payment_Amount]]</f>
        <v>11500</v>
      </c>
    </row>
    <row r="38" spans="1:8" x14ac:dyDescent="0.3">
      <c r="A38" t="s">
        <v>60</v>
      </c>
      <c r="B38" t="s">
        <v>9</v>
      </c>
      <c r="C38" s="1">
        <v>46001</v>
      </c>
      <c r="D38" s="1">
        <v>45666</v>
      </c>
      <c r="E38" t="s">
        <v>10</v>
      </c>
      <c r="F38" s="2">
        <v>8650</v>
      </c>
      <c r="G38">
        <v>0</v>
      </c>
      <c r="H38" s="5">
        <f>tbl_AR[[#This Row],[Invoice_Amount]]-tbl_AR[[#This Row],[Payment_Amount]]</f>
        <v>8650</v>
      </c>
    </row>
    <row r="39" spans="1:8" x14ac:dyDescent="0.3">
      <c r="A39" t="s">
        <v>61</v>
      </c>
      <c r="B39" t="s">
        <v>26</v>
      </c>
      <c r="C39" s="1">
        <v>45969</v>
      </c>
      <c r="D39" s="1">
        <v>45999</v>
      </c>
      <c r="E39" t="s">
        <v>10</v>
      </c>
      <c r="F39" s="2">
        <v>15200</v>
      </c>
      <c r="G39">
        <v>0</v>
      </c>
      <c r="H39" s="5">
        <f>tbl_AR[[#This Row],[Invoice_Amount]]-tbl_AR[[#This Row],[Payment_Amount]]</f>
        <v>15200</v>
      </c>
    </row>
    <row r="40" spans="1:8" x14ac:dyDescent="0.3">
      <c r="A40" t="s">
        <v>62</v>
      </c>
      <c r="B40" t="s">
        <v>24</v>
      </c>
      <c r="C40" s="1">
        <v>45995</v>
      </c>
      <c r="D40" s="1">
        <v>45660</v>
      </c>
      <c r="E40" t="s">
        <v>10</v>
      </c>
      <c r="F40" s="2">
        <v>12900</v>
      </c>
      <c r="G40">
        <v>0</v>
      </c>
      <c r="H40" s="5">
        <f>tbl_AR[[#This Row],[Invoice_Amount]]-tbl_AR[[#This Row],[Payment_Amount]]</f>
        <v>12900</v>
      </c>
    </row>
    <row r="41" spans="1:8" x14ac:dyDescent="0.3">
      <c r="A41" t="s">
        <v>63</v>
      </c>
      <c r="B41" t="s">
        <v>12</v>
      </c>
      <c r="C41" s="1">
        <v>45918</v>
      </c>
      <c r="D41" s="1">
        <v>45948</v>
      </c>
      <c r="E41" t="s">
        <v>10</v>
      </c>
      <c r="F41" s="2">
        <v>6300</v>
      </c>
      <c r="G41">
        <v>0</v>
      </c>
      <c r="H41" s="5">
        <f>tbl_AR[[#This Row],[Invoice_Amount]]-tbl_AR[[#This Row],[Payment_Amount]]</f>
        <v>6300</v>
      </c>
    </row>
    <row r="42" spans="1:8" x14ac:dyDescent="0.3">
      <c r="A42" t="s">
        <v>64</v>
      </c>
      <c r="B42" t="s">
        <v>16</v>
      </c>
      <c r="C42" s="1">
        <v>45987</v>
      </c>
      <c r="D42" s="1">
        <v>46017</v>
      </c>
      <c r="E42" t="s">
        <v>10</v>
      </c>
      <c r="F42" s="2">
        <v>20100</v>
      </c>
      <c r="G42">
        <v>0</v>
      </c>
      <c r="H42" s="5">
        <f>tbl_AR[[#This Row],[Invoice_Amount]]-tbl_AR[[#This Row],[Payment_Amount]]</f>
        <v>20100</v>
      </c>
    </row>
    <row r="43" spans="1:8" x14ac:dyDescent="0.3">
      <c r="A43" t="s">
        <v>65</v>
      </c>
      <c r="B43" t="s">
        <v>29</v>
      </c>
      <c r="C43" s="1">
        <v>45998</v>
      </c>
      <c r="D43" s="1">
        <v>45663</v>
      </c>
      <c r="E43" t="s">
        <v>10</v>
      </c>
      <c r="F43" s="2">
        <v>9450</v>
      </c>
      <c r="G43">
        <v>0</v>
      </c>
      <c r="H43" s="5">
        <f>tbl_AR[[#This Row],[Invoice_Amount]]-tbl_AR[[#This Row],[Payment_Amount]]</f>
        <v>9450</v>
      </c>
    </row>
    <row r="44" spans="1:8" x14ac:dyDescent="0.3">
      <c r="A44" t="s">
        <v>66</v>
      </c>
      <c r="B44" t="s">
        <v>33</v>
      </c>
      <c r="C44" s="1">
        <v>45942</v>
      </c>
      <c r="D44" s="1">
        <v>45972</v>
      </c>
      <c r="E44" t="s">
        <v>10</v>
      </c>
      <c r="F44" s="2">
        <v>13700</v>
      </c>
      <c r="G44">
        <v>0</v>
      </c>
      <c r="H44" s="5">
        <f>tbl_AR[[#This Row],[Invoice_Amount]]-tbl_AR[[#This Row],[Payment_Amount]]</f>
        <v>13700</v>
      </c>
    </row>
    <row r="45" spans="1:8" x14ac:dyDescent="0.3">
      <c r="A45" t="s">
        <v>67</v>
      </c>
      <c r="B45" t="s">
        <v>35</v>
      </c>
      <c r="C45" s="1">
        <v>45990</v>
      </c>
      <c r="D45" s="1">
        <v>46020</v>
      </c>
      <c r="E45" t="s">
        <v>10</v>
      </c>
      <c r="F45" s="2">
        <v>16250</v>
      </c>
      <c r="G45">
        <v>0</v>
      </c>
      <c r="H45" s="5">
        <f>tbl_AR[[#This Row],[Invoice_Amount]]-tbl_AR[[#This Row],[Payment_Amount]]</f>
        <v>16250</v>
      </c>
    </row>
    <row r="46" spans="1:8" x14ac:dyDescent="0.3">
      <c r="A46" t="s">
        <v>68</v>
      </c>
      <c r="B46" t="s">
        <v>31</v>
      </c>
      <c r="C46" s="1">
        <v>46002</v>
      </c>
      <c r="D46" s="1">
        <v>45667</v>
      </c>
      <c r="E46" t="s">
        <v>10</v>
      </c>
      <c r="F46" s="2">
        <v>18600</v>
      </c>
      <c r="G46">
        <v>0</v>
      </c>
      <c r="H46" s="5">
        <f>tbl_AR[[#This Row],[Invoice_Amount]]-tbl_AR[[#This Row],[Payment_Amount]]</f>
        <v>18600</v>
      </c>
    </row>
    <row r="47" spans="1:8" x14ac:dyDescent="0.3">
      <c r="A47" t="s">
        <v>69</v>
      </c>
      <c r="B47" t="s">
        <v>38</v>
      </c>
      <c r="C47" s="1">
        <v>45908</v>
      </c>
      <c r="D47" s="1">
        <v>45938</v>
      </c>
      <c r="E47" t="s">
        <v>10</v>
      </c>
      <c r="F47" s="2">
        <v>24900</v>
      </c>
      <c r="G47">
        <v>0</v>
      </c>
      <c r="H47" s="5">
        <f>tbl_AR[[#This Row],[Invoice_Amount]]-tbl_AR[[#This Row],[Payment_Amount]]</f>
        <v>24900</v>
      </c>
    </row>
    <row r="48" spans="1:8" x14ac:dyDescent="0.3">
      <c r="A48" t="s">
        <v>70</v>
      </c>
      <c r="B48" t="s">
        <v>14</v>
      </c>
      <c r="C48" s="1">
        <v>45984</v>
      </c>
      <c r="D48" s="1">
        <v>46014</v>
      </c>
      <c r="E48" t="s">
        <v>10</v>
      </c>
      <c r="F48" s="2">
        <v>7100</v>
      </c>
      <c r="G48">
        <v>0</v>
      </c>
      <c r="H48" s="5">
        <f>tbl_AR[[#This Row],[Invoice_Amount]]-tbl_AR[[#This Row],[Payment_Amount]]</f>
        <v>7100</v>
      </c>
    </row>
    <row r="49" spans="1:8" x14ac:dyDescent="0.3">
      <c r="A49" t="s">
        <v>71</v>
      </c>
      <c r="B49" t="s">
        <v>41</v>
      </c>
      <c r="C49" s="1">
        <v>45946</v>
      </c>
      <c r="D49" s="1">
        <v>45976</v>
      </c>
      <c r="E49" t="s">
        <v>10</v>
      </c>
      <c r="F49" s="2">
        <v>4500</v>
      </c>
      <c r="G49">
        <v>0</v>
      </c>
      <c r="H49" s="5">
        <f>tbl_AR[[#This Row],[Invoice_Amount]]-tbl_AR[[#This Row],[Payment_Amount]]</f>
        <v>4500</v>
      </c>
    </row>
    <row r="50" spans="1:8" x14ac:dyDescent="0.3">
      <c r="A50" t="s">
        <v>72</v>
      </c>
      <c r="B50" t="s">
        <v>22</v>
      </c>
      <c r="C50" s="1">
        <v>45992</v>
      </c>
      <c r="D50" s="1">
        <v>46022</v>
      </c>
      <c r="E50" t="s">
        <v>10</v>
      </c>
      <c r="F50" s="2">
        <v>27300</v>
      </c>
      <c r="G50">
        <v>0</v>
      </c>
      <c r="H50" s="5">
        <f>tbl_AR[[#This Row],[Invoice_Amount]]-tbl_AR[[#This Row],[Payment_Amount]]</f>
        <v>27300</v>
      </c>
    </row>
    <row r="51" spans="1:8" x14ac:dyDescent="0.3">
      <c r="A51" t="s">
        <v>73</v>
      </c>
      <c r="B51" t="s">
        <v>44</v>
      </c>
      <c r="C51" s="1">
        <v>45980</v>
      </c>
      <c r="D51" s="1">
        <v>46010</v>
      </c>
      <c r="E51" t="s">
        <v>10</v>
      </c>
      <c r="F51" s="2">
        <v>22650</v>
      </c>
      <c r="G51">
        <v>0</v>
      </c>
      <c r="H51" s="5">
        <f>tbl_AR[[#This Row],[Invoice_Amount]]-tbl_AR[[#This Row],[Payment_Amount]]</f>
        <v>22650</v>
      </c>
    </row>
    <row r="52" spans="1:8" x14ac:dyDescent="0.3">
      <c r="A52" t="s">
        <v>74</v>
      </c>
      <c r="B52" t="s">
        <v>19</v>
      </c>
      <c r="C52" s="1">
        <v>45958</v>
      </c>
      <c r="D52" s="1">
        <v>45988</v>
      </c>
      <c r="E52" t="s">
        <v>10</v>
      </c>
      <c r="F52" s="2">
        <v>14800</v>
      </c>
      <c r="G52">
        <v>0</v>
      </c>
      <c r="H52" s="5">
        <f>tbl_AR[[#This Row],[Invoice_Amount]]-tbl_AR[[#This Row],[Payment_Amount]]</f>
        <v>14800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84F9-080B-4DA8-B0B2-AFB831B42162}">
  <dimension ref="A2:J53"/>
  <sheetViews>
    <sheetView tabSelected="1" workbookViewId="0">
      <selection activeCell="A53" sqref="A53:XFD53"/>
    </sheetView>
  </sheetViews>
  <sheetFormatPr defaultRowHeight="14.4" x14ac:dyDescent="0.3"/>
  <cols>
    <col min="1" max="1" width="10.33203125" customWidth="1"/>
    <col min="2" max="2" width="18.6640625" bestFit="1" customWidth="1"/>
    <col min="3" max="5" width="10.33203125" customWidth="1"/>
    <col min="6" max="9" width="12.44140625" bestFit="1" customWidth="1"/>
    <col min="10" max="10" width="11.33203125" customWidth="1"/>
  </cols>
  <sheetData>
    <row r="2" spans="1:10" x14ac:dyDescent="0.3">
      <c r="A2" t="s">
        <v>0</v>
      </c>
      <c r="B2" t="s">
        <v>1</v>
      </c>
      <c r="C2" t="s">
        <v>7</v>
      </c>
      <c r="D2" t="s">
        <v>2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</row>
    <row r="3" spans="1:10" x14ac:dyDescent="0.3">
      <c r="A3" t="str">
        <f>tbl_AR[[#This Row],[Invoice_No]]</f>
        <v>INV-1001</v>
      </c>
      <c r="B3" t="str">
        <f>tbl_AR[[#This Row],[Customer_Name]]</f>
        <v>ABC Motors Ltd</v>
      </c>
      <c r="C3">
        <f>tbl_AR[[#This Row],[Balance]]</f>
        <v>0</v>
      </c>
      <c r="D3" s="1">
        <f>tbl_AR[[#This Row],[Invoice_Date]]</f>
        <v>45976</v>
      </c>
      <c r="E3" s="3">
        <f ca="1">INT(TODAY()-Table2[[#This Row],[Invoice_Date]])</f>
        <v>43</v>
      </c>
      <c r="F3" s="3"/>
      <c r="G3" s="3">
        <f ca="1">IF(AND(Table2[[#This Row],[Days_Old]]&gt;30,Table2[[#This Row],[Days_Old]]&lt;=60),Table2[[#This Row],[Balance]],0)</f>
        <v>0</v>
      </c>
      <c r="H3" s="3">
        <f ca="1">IF(AND(E3&gt;30,E3&lt;=60),Table2[[#This Row],[Balance]],0)</f>
        <v>0</v>
      </c>
      <c r="I3" s="3">
        <f ca="1">IF(AND(E3&gt;90,E3&lt;=120),C3,0)</f>
        <v>0</v>
      </c>
      <c r="J3" s="3">
        <f ca="1">IF(E3&gt;120,C3,0)</f>
        <v>0</v>
      </c>
    </row>
    <row r="4" spans="1:10" x14ac:dyDescent="0.3">
      <c r="A4" t="str">
        <f>tbl_AR[[#This Row],[Invoice_No]]</f>
        <v>INV-1002</v>
      </c>
      <c r="B4" t="str">
        <f>tbl_AR[[#This Row],[Customer_Name]]</f>
        <v>XYZ Repairs Inc</v>
      </c>
      <c r="C4">
        <f>tbl_AR[[#This Row],[Balance]]</f>
        <v>3200</v>
      </c>
      <c r="D4" s="1">
        <f>tbl_AR[[#This Row],[Invoice_Date]]</f>
        <v>45950</v>
      </c>
      <c r="E4" s="3">
        <f ca="1">INT(TODAY()-Table2[[#This Row],[Invoice_Date]])</f>
        <v>69</v>
      </c>
      <c r="F4" s="3">
        <f ca="1">IF(Table2[[#This Row],[Days_Old]]&lt;=30,Table2[[#This Row],[Balance]],0)</f>
        <v>0</v>
      </c>
      <c r="G4" s="3">
        <f ca="1">IF(AND(Table2[[#This Row],[Days_Old]]&gt;30,Table2[[#This Row],[Days_Old]]&lt;=60),Table2[[#This Row],[Balance]],0)</f>
        <v>0</v>
      </c>
      <c r="H4" s="3">
        <f ca="1">IF(AND(E4&gt;30,E4&lt;=60),Table2[[#This Row],[Balance]],0)</f>
        <v>0</v>
      </c>
      <c r="I4" s="3">
        <f t="shared" ref="I4:I52" ca="1" si="0">IF(AND(E4&gt;90,E4&lt;=120),C4,0)</f>
        <v>0</v>
      </c>
      <c r="J4" s="3">
        <f t="shared" ref="J4:J52" ca="1" si="1">IF(E4&gt;120,C4,0)</f>
        <v>0</v>
      </c>
    </row>
    <row r="5" spans="1:10" x14ac:dyDescent="0.3">
      <c r="A5" t="str">
        <f>tbl_AR[[#This Row],[Invoice_No]]</f>
        <v>INV-1003</v>
      </c>
      <c r="B5" t="str">
        <f>tbl_AR[[#This Row],[Customer_Name]]</f>
        <v>Quick Auto Service</v>
      </c>
      <c r="C5">
        <f>tbl_AR[[#This Row],[Balance]]</f>
        <v>4900</v>
      </c>
      <c r="D5" s="1">
        <f>tbl_AR[[#This Row],[Invoice_Date]]</f>
        <v>45986</v>
      </c>
      <c r="E5" s="3">
        <f ca="1">INT(TODAY()-Table2[[#This Row],[Invoice_Date]])</f>
        <v>33</v>
      </c>
      <c r="F5" s="3">
        <f ca="1">IF(Table2[[#This Row],[Days_Old]]&lt;=30,Table2[[#This Row],[Balance]],0)</f>
        <v>0</v>
      </c>
      <c r="G5" s="3">
        <f ca="1">IF(AND(Table2[[#This Row],[Days_Old]]&gt;30,Table2[[#This Row],[Days_Old]]&lt;=60),Table2[[#This Row],[Balance]],0)</f>
        <v>4900</v>
      </c>
      <c r="H5" s="3">
        <f ca="1">IF(AND(E5&gt;30,E5&lt;=60),Table2[[#This Row],[Balance]],0)</f>
        <v>4900</v>
      </c>
      <c r="I5" s="3">
        <f t="shared" ca="1" si="0"/>
        <v>0</v>
      </c>
      <c r="J5" s="3">
        <f t="shared" ca="1" si="1"/>
        <v>0</v>
      </c>
    </row>
    <row r="6" spans="1:10" x14ac:dyDescent="0.3">
      <c r="A6" t="str">
        <f>tbl_AR[[#This Row],[Invoice_No]]</f>
        <v>INV-1004</v>
      </c>
      <c r="B6" t="str">
        <f>tbl_AR[[#This Row],[Customer_Name]]</f>
        <v>Fleet Management Co</v>
      </c>
      <c r="C6">
        <f>tbl_AR[[#This Row],[Balance]]</f>
        <v>25000</v>
      </c>
      <c r="D6" s="1">
        <f>tbl_AR[[#This Row],[Invoice_Date]]</f>
        <v>45915</v>
      </c>
      <c r="E6" s="3">
        <f ca="1">INT(TODAY()-Table2[[#This Row],[Invoice_Date]])</f>
        <v>104</v>
      </c>
      <c r="F6" s="3">
        <f ca="1">IF(Table2[[#This Row],[Days_Old]]&lt;=30,Table2[[#This Row],[Balance]],0)</f>
        <v>0</v>
      </c>
      <c r="G6" s="3">
        <f ca="1">IF(AND(Table2[[#This Row],[Days_Old]]&gt;30,Table2[[#This Row],[Days_Old]]&lt;=60),Table2[[#This Row],[Balance]],0)</f>
        <v>0</v>
      </c>
      <c r="H6" s="3">
        <f ca="1">IF(AND(E6&gt;30,E6&lt;=60),Table2[[#This Row],[Balance]],0)</f>
        <v>0</v>
      </c>
      <c r="I6" s="3">
        <f t="shared" ca="1" si="0"/>
        <v>25000</v>
      </c>
      <c r="J6" s="3">
        <f t="shared" ca="1" si="1"/>
        <v>0</v>
      </c>
    </row>
    <row r="7" spans="1:10" x14ac:dyDescent="0.3">
      <c r="A7" t="str">
        <f>tbl_AR[[#This Row],[Invoice_No]]</f>
        <v>INV-1005</v>
      </c>
      <c r="B7" t="str">
        <f>tbl_AR[[#This Row],[Customer_Name]]</f>
        <v>Downtown Dealership</v>
      </c>
      <c r="C7">
        <f>tbl_AR[[#This Row],[Balance]]</f>
        <v>15600</v>
      </c>
      <c r="D7" s="1">
        <f>tbl_AR[[#This Row],[Invoice_Date]]</f>
        <v>45992</v>
      </c>
      <c r="E7" s="3">
        <f ca="1">INT(TODAY()-Table2[[#This Row],[Invoice_Date]])</f>
        <v>27</v>
      </c>
      <c r="F7" s="3">
        <f ca="1">IF(Table2[[#This Row],[Days_Old]]&lt;=30,Table2[[#This Row],[Balance]],0)</f>
        <v>15600</v>
      </c>
      <c r="G7" s="3">
        <f ca="1">IF(AND(Table2[[#This Row],[Days_Old]]&gt;30,Table2[[#This Row],[Days_Old]]&lt;=60),Table2[[#This Row],[Balance]],0)</f>
        <v>0</v>
      </c>
      <c r="H7" s="3">
        <f ca="1">IF(AND(E7&gt;30,E7&lt;=60),Table2[[#This Row],[Balance]],0)</f>
        <v>0</v>
      </c>
      <c r="I7" s="3">
        <f t="shared" ca="1" si="0"/>
        <v>0</v>
      </c>
      <c r="J7" s="3">
        <f t="shared" ca="1" si="1"/>
        <v>0</v>
      </c>
    </row>
    <row r="8" spans="1:10" x14ac:dyDescent="0.3">
      <c r="A8" t="str">
        <f>tbl_AR[[#This Row],[Invoice_No]]</f>
        <v>INV-1006</v>
      </c>
      <c r="B8" t="str">
        <f>tbl_AR[[#This Row],[Customer_Name]]</f>
        <v>ABC Motors Ltd</v>
      </c>
      <c r="C8">
        <f>tbl_AR[[#This Row],[Balance]]</f>
        <v>4200</v>
      </c>
      <c r="D8" s="1">
        <f>tbl_AR[[#This Row],[Invoice_Date]]</f>
        <v>45879</v>
      </c>
      <c r="E8" s="3">
        <f ca="1">INT(TODAY()-Table2[[#This Row],[Invoice_Date]])</f>
        <v>140</v>
      </c>
      <c r="F8" s="3">
        <f ca="1">IF(Table2[[#This Row],[Days_Old]]&lt;=30,Table2[[#This Row],[Balance]],0)</f>
        <v>0</v>
      </c>
      <c r="G8" s="3">
        <f ca="1">IF(AND(Table2[[#This Row],[Days_Old]]&gt;30,Table2[[#This Row],[Days_Old]]&lt;=60),Table2[[#This Row],[Balance]],0)</f>
        <v>0</v>
      </c>
      <c r="H8" s="3">
        <f ca="1">IF(AND(E8&gt;30,E8&lt;=60),Table2[[#This Row],[Balance]],0)</f>
        <v>0</v>
      </c>
      <c r="I8" s="3">
        <f t="shared" ca="1" si="0"/>
        <v>0</v>
      </c>
      <c r="J8" s="3">
        <f t="shared" ca="1" si="1"/>
        <v>4200</v>
      </c>
    </row>
    <row r="9" spans="1:10" x14ac:dyDescent="0.3">
      <c r="A9" t="str">
        <f>tbl_AR[[#This Row],[Invoice_No]]</f>
        <v>INV-1007</v>
      </c>
      <c r="B9" t="str">
        <f>tbl_AR[[#This Row],[Customer_Name]]</f>
        <v>City Transit Authority</v>
      </c>
      <c r="C9">
        <f>tbl_AR[[#This Row],[Balance]]</f>
        <v>18500</v>
      </c>
      <c r="D9" s="1">
        <f>tbl_AR[[#This Row],[Invoice_Date]]</f>
        <v>45935</v>
      </c>
      <c r="E9" s="3">
        <f ca="1">INT(TODAY()-Table2[[#This Row],[Invoice_Date]])</f>
        <v>84</v>
      </c>
      <c r="F9" s="3">
        <f ca="1">IF(Table2[[#This Row],[Days_Old]]&lt;=30,Table2[[#This Row],[Balance]],0)</f>
        <v>0</v>
      </c>
      <c r="G9" s="3">
        <f ca="1">IF(AND(Table2[[#This Row],[Days_Old]]&gt;30,Table2[[#This Row],[Days_Old]]&lt;=60),Table2[[#This Row],[Balance]],0)</f>
        <v>0</v>
      </c>
      <c r="H9" s="3">
        <f ca="1">IF(AND(E9&gt;30,E9&lt;=60),Table2[[#This Row],[Balance]],0)</f>
        <v>0</v>
      </c>
      <c r="I9" s="3">
        <f t="shared" ca="1" si="0"/>
        <v>0</v>
      </c>
      <c r="J9" s="3">
        <f t="shared" ca="1" si="1"/>
        <v>0</v>
      </c>
    </row>
    <row r="10" spans="1:10" x14ac:dyDescent="0.3">
      <c r="A10" t="str">
        <f>tbl_AR[[#This Row],[Invoice_No]]</f>
        <v>INV-1008</v>
      </c>
      <c r="B10" t="str">
        <f>tbl_AR[[#This Row],[Customer_Name]]</f>
        <v>Superior Auto Group</v>
      </c>
      <c r="C10">
        <f>tbl_AR[[#This Row],[Balance]]</f>
        <v>0</v>
      </c>
      <c r="D10" s="1">
        <f>tbl_AR[[#This Row],[Invoice_Date]]</f>
        <v>45981</v>
      </c>
      <c r="E10" s="3">
        <f ca="1">INT(TODAY()-Table2[[#This Row],[Invoice_Date]])</f>
        <v>38</v>
      </c>
      <c r="F10" s="3">
        <f ca="1">IF(Table2[[#This Row],[Days_Old]]&lt;=30,Table2[[#This Row],[Balance]],0)</f>
        <v>0</v>
      </c>
      <c r="G10" s="3">
        <f ca="1">IF(AND(Table2[[#This Row],[Days_Old]]&gt;30,Table2[[#This Row],[Days_Old]]&lt;=60),Table2[[#This Row],[Balance]],0)</f>
        <v>0</v>
      </c>
      <c r="H10" s="3">
        <f ca="1">IF(AND(E10&gt;30,E10&lt;=60),Table2[[#This Row],[Balance]],0)</f>
        <v>0</v>
      </c>
      <c r="I10" s="3">
        <f t="shared" ca="1" si="0"/>
        <v>0</v>
      </c>
      <c r="J10" s="3">
        <f t="shared" ca="1" si="1"/>
        <v>0</v>
      </c>
    </row>
    <row r="11" spans="1:10" x14ac:dyDescent="0.3">
      <c r="A11" t="str">
        <f>tbl_AR[[#This Row],[Invoice_No]]</f>
        <v>INV-1009</v>
      </c>
      <c r="B11" t="str">
        <f>tbl_AR[[#This Row],[Customer_Name]]</f>
        <v>Metro Car Rental</v>
      </c>
      <c r="C11">
        <f>tbl_AR[[#This Row],[Balance]]</f>
        <v>14300</v>
      </c>
      <c r="D11" s="1">
        <f>tbl_AR[[#This Row],[Invoice_Date]]</f>
        <v>45928</v>
      </c>
      <c r="E11" s="3">
        <f ca="1">INT(TODAY()-Table2[[#This Row],[Invoice_Date]])</f>
        <v>91</v>
      </c>
      <c r="F11" s="3">
        <f ca="1">IF(Table2[[#This Row],[Days_Old]]&lt;=30,Table2[[#This Row],[Balance]],0)</f>
        <v>0</v>
      </c>
      <c r="G11" s="3">
        <f ca="1">IF(AND(Table2[[#This Row],[Days_Old]]&gt;30,Table2[[#This Row],[Days_Old]]&lt;=60),Table2[[#This Row],[Balance]],0)</f>
        <v>0</v>
      </c>
      <c r="H11" s="3">
        <f ca="1">IF(AND(E11&gt;30,E11&lt;=60),Table2[[#This Row],[Balance]],0)</f>
        <v>0</v>
      </c>
      <c r="I11" s="3">
        <f t="shared" ca="1" si="0"/>
        <v>14300</v>
      </c>
      <c r="J11" s="3">
        <f t="shared" ca="1" si="1"/>
        <v>0</v>
      </c>
    </row>
    <row r="12" spans="1:10" x14ac:dyDescent="0.3">
      <c r="A12" t="str">
        <f>tbl_AR[[#This Row],[Invoice_No]]</f>
        <v>INV-1010</v>
      </c>
      <c r="B12" t="str">
        <f>tbl_AR[[#This Row],[Customer_Name]]</f>
        <v>ABC Motors Ltd</v>
      </c>
      <c r="C12">
        <f>tbl_AR[[#This Row],[Balance]]</f>
        <v>6750</v>
      </c>
      <c r="D12" s="1">
        <f>tbl_AR[[#This Row],[Invoice_Date]]</f>
        <v>45996</v>
      </c>
      <c r="E12" s="3">
        <f ca="1">INT(TODAY()-Table2[[#This Row],[Invoice_Date]])</f>
        <v>23</v>
      </c>
      <c r="F12" s="3">
        <f ca="1">IF(Table2[[#This Row],[Days_Old]]&lt;=30,Table2[[#This Row],[Balance]],0)</f>
        <v>6750</v>
      </c>
      <c r="G12" s="3">
        <f ca="1">IF(AND(Table2[[#This Row],[Days_Old]]&gt;30,Table2[[#This Row],[Days_Old]]&lt;=60),Table2[[#This Row],[Balance]],0)</f>
        <v>0</v>
      </c>
      <c r="H12" s="3">
        <f ca="1">IF(AND(E12&gt;30,E12&lt;=60),Table2[[#This Row],[Balance]],0)</f>
        <v>0</v>
      </c>
      <c r="I12" s="3">
        <f t="shared" ca="1" si="0"/>
        <v>0</v>
      </c>
      <c r="J12" s="3">
        <f t="shared" ca="1" si="1"/>
        <v>0</v>
      </c>
    </row>
    <row r="13" spans="1:10" x14ac:dyDescent="0.3">
      <c r="A13" t="str">
        <f>tbl_AR[[#This Row],[Invoice_No]]</f>
        <v>INV-1011</v>
      </c>
      <c r="B13" t="str">
        <f>tbl_AR[[#This Row],[Customer_Name]]</f>
        <v>Express Delivery Co</v>
      </c>
      <c r="C13">
        <f>tbl_AR[[#This Row],[Balance]]</f>
        <v>6200</v>
      </c>
      <c r="D13" s="1">
        <f>tbl_AR[[#This Row],[Invoice_Date]]</f>
        <v>45971</v>
      </c>
      <c r="E13" s="3">
        <f ca="1">INT(TODAY()-Table2[[#This Row],[Invoice_Date]])</f>
        <v>48</v>
      </c>
      <c r="F13" s="3">
        <f ca="1">IF(Table2[[#This Row],[Days_Old]]&lt;=30,Table2[[#This Row],[Balance]],0)</f>
        <v>0</v>
      </c>
      <c r="G13" s="3">
        <f ca="1">IF(AND(Table2[[#This Row],[Days_Old]]&gt;30,Table2[[#This Row],[Days_Old]]&lt;=60),Table2[[#This Row],[Balance]],0)</f>
        <v>6200</v>
      </c>
      <c r="H13" s="3">
        <f ca="1">IF(AND(E13&gt;30,E13&lt;=60),Table2[[#This Row],[Balance]],0)</f>
        <v>6200</v>
      </c>
      <c r="I13" s="3">
        <f t="shared" ca="1" si="0"/>
        <v>0</v>
      </c>
      <c r="J13" s="3">
        <f t="shared" ca="1" si="1"/>
        <v>0</v>
      </c>
    </row>
    <row r="14" spans="1:10" x14ac:dyDescent="0.3">
      <c r="A14" t="str">
        <f>tbl_AR[[#This Row],[Invoice_No]]</f>
        <v>INV-1012</v>
      </c>
      <c r="B14" t="str">
        <f>tbl_AR[[#This Row],[Customer_Name]]</f>
        <v>Rideshare Fleet Ltd</v>
      </c>
      <c r="C14">
        <f>tbl_AR[[#This Row],[Balance]]</f>
        <v>22400</v>
      </c>
      <c r="D14" s="1">
        <f>tbl_AR[[#This Row],[Invoice_Date]]</f>
        <v>45945</v>
      </c>
      <c r="E14" s="3">
        <f ca="1">INT(TODAY()-Table2[[#This Row],[Invoice_Date]])</f>
        <v>74</v>
      </c>
      <c r="F14" s="3">
        <f ca="1">IF(Table2[[#This Row],[Days_Old]]&lt;=30,Table2[[#This Row],[Balance]],0)</f>
        <v>0</v>
      </c>
      <c r="G14" s="3">
        <f ca="1">IF(AND(Table2[[#This Row],[Days_Old]]&gt;30,Table2[[#This Row],[Days_Old]]&lt;=60),Table2[[#This Row],[Balance]],0)</f>
        <v>0</v>
      </c>
      <c r="H14" s="3">
        <f ca="1">IF(AND(E14&gt;30,E14&lt;=60),Table2[[#This Row],[Balance]],0)</f>
        <v>0</v>
      </c>
      <c r="I14" s="3">
        <f t="shared" ca="1" si="0"/>
        <v>0</v>
      </c>
      <c r="J14" s="3">
        <f t="shared" ca="1" si="1"/>
        <v>0</v>
      </c>
    </row>
    <row r="15" spans="1:10" x14ac:dyDescent="0.3">
      <c r="A15" t="str">
        <f>tbl_AR[[#This Row],[Invoice_No]]</f>
        <v>INV-1013</v>
      </c>
      <c r="B15" t="str">
        <f>tbl_AR[[#This Row],[Customer_Name]]</f>
        <v>Budget Rent-a-Car</v>
      </c>
      <c r="C15">
        <f>tbl_AR[[#This Row],[Balance]]</f>
        <v>8950</v>
      </c>
      <c r="D15" s="1">
        <f>tbl_AR[[#This Row],[Invoice_Date]]</f>
        <v>45989</v>
      </c>
      <c r="E15" s="3">
        <f ca="1">INT(TODAY()-Table2[[#This Row],[Invoice_Date]])</f>
        <v>30</v>
      </c>
      <c r="F15" s="3">
        <f ca="1">IF(Table2[[#This Row],[Days_Old]]&lt;=30,Table2[[#This Row],[Balance]],0)</f>
        <v>8950</v>
      </c>
      <c r="G15" s="3">
        <f ca="1">IF(AND(Table2[[#This Row],[Days_Old]]&gt;30,Table2[[#This Row],[Days_Old]]&lt;=60),Table2[[#This Row],[Balance]],0)</f>
        <v>0</v>
      </c>
      <c r="H15" s="3">
        <f ca="1">IF(AND(E15&gt;30,E15&lt;=60),Table2[[#This Row],[Balance]],0)</f>
        <v>0</v>
      </c>
      <c r="I15" s="3">
        <f t="shared" ca="1" si="0"/>
        <v>0</v>
      </c>
      <c r="J15" s="3">
        <f t="shared" ca="1" si="1"/>
        <v>0</v>
      </c>
    </row>
    <row r="16" spans="1:10" x14ac:dyDescent="0.3">
      <c r="A16" t="str">
        <f>tbl_AR[[#This Row],[Invoice_No]]</f>
        <v>INV-1014</v>
      </c>
      <c r="B16" t="str">
        <f>tbl_AR[[#This Row],[Customer_Name]]</f>
        <v>Premier Logistics</v>
      </c>
      <c r="C16">
        <f>tbl_AR[[#This Row],[Balance]]</f>
        <v>16800</v>
      </c>
      <c r="D16" s="1">
        <f>tbl_AR[[#This Row],[Invoice_Date]]</f>
        <v>45905</v>
      </c>
      <c r="E16" s="3">
        <f ca="1">INT(TODAY()-Table2[[#This Row],[Invoice_Date]])</f>
        <v>114</v>
      </c>
      <c r="F16" s="3">
        <f ca="1">IF(Table2[[#This Row],[Days_Old]]&lt;=30,Table2[[#This Row],[Balance]],0)</f>
        <v>0</v>
      </c>
      <c r="G16" s="3">
        <f ca="1">IF(AND(Table2[[#This Row],[Days_Old]]&gt;30,Table2[[#This Row],[Days_Old]]&lt;=60),Table2[[#This Row],[Balance]],0)</f>
        <v>0</v>
      </c>
      <c r="H16" s="3">
        <f ca="1">IF(AND(E16&gt;30,E16&lt;=60),Table2[[#This Row],[Balance]],0)</f>
        <v>0</v>
      </c>
      <c r="I16" s="3">
        <f t="shared" ca="1" si="0"/>
        <v>16800</v>
      </c>
      <c r="J16" s="3">
        <f t="shared" ca="1" si="1"/>
        <v>0</v>
      </c>
    </row>
    <row r="17" spans="1:10" x14ac:dyDescent="0.3">
      <c r="A17" t="str">
        <f>tbl_AR[[#This Row],[Invoice_No]]</f>
        <v>INV-1015</v>
      </c>
      <c r="B17" t="str">
        <f>tbl_AR[[#This Row],[Customer_Name]]</f>
        <v>Quick Auto Service</v>
      </c>
      <c r="C17">
        <f>tbl_AR[[#This Row],[Balance]]</f>
        <v>5400</v>
      </c>
      <c r="D17" s="1">
        <f>tbl_AR[[#This Row],[Invoice_Date]]</f>
        <v>45999</v>
      </c>
      <c r="E17" s="3">
        <f ca="1">INT(TODAY()-Table2[[#This Row],[Invoice_Date]])</f>
        <v>20</v>
      </c>
      <c r="F17" s="3">
        <f ca="1">IF(Table2[[#This Row],[Days_Old]]&lt;=30,Table2[[#This Row],[Balance]],0)</f>
        <v>5400</v>
      </c>
      <c r="G17" s="3">
        <f ca="1">IF(AND(Table2[[#This Row],[Days_Old]]&gt;30,Table2[[#This Row],[Days_Old]]&lt;=60),Table2[[#This Row],[Balance]],0)</f>
        <v>0</v>
      </c>
      <c r="H17" s="3">
        <f ca="1">IF(AND(E17&gt;30,E17&lt;=60),Table2[[#This Row],[Balance]],0)</f>
        <v>0</v>
      </c>
      <c r="I17" s="3">
        <f t="shared" ca="1" si="0"/>
        <v>0</v>
      </c>
      <c r="J17" s="3">
        <f t="shared" ca="1" si="1"/>
        <v>0</v>
      </c>
    </row>
    <row r="18" spans="1:10" x14ac:dyDescent="0.3">
      <c r="A18" t="str">
        <f>tbl_AR[[#This Row],[Invoice_No]]</f>
        <v>INV-1016</v>
      </c>
      <c r="B18" t="str">
        <f>tbl_AR[[#This Row],[Customer_Name]]</f>
        <v>Tech Transport Inc</v>
      </c>
      <c r="C18">
        <f>tbl_AR[[#This Row],[Balance]]</f>
        <v>7650</v>
      </c>
      <c r="D18" s="1">
        <f>tbl_AR[[#This Row],[Invoice_Date]]</f>
        <v>45960</v>
      </c>
      <c r="E18" s="3">
        <f ca="1">INT(TODAY()-Table2[[#This Row],[Invoice_Date]])</f>
        <v>59</v>
      </c>
      <c r="F18" s="3">
        <f ca="1">IF(Table2[[#This Row],[Days_Old]]&lt;=30,Table2[[#This Row],[Balance]],0)</f>
        <v>0</v>
      </c>
      <c r="G18" s="3">
        <f ca="1">IF(AND(Table2[[#This Row],[Days_Old]]&gt;30,Table2[[#This Row],[Days_Old]]&lt;=60),Table2[[#This Row],[Balance]],0)</f>
        <v>7650</v>
      </c>
      <c r="H18" s="3">
        <f ca="1">IF(AND(E18&gt;30,E18&lt;=60),Table2[[#This Row],[Balance]],0)</f>
        <v>7650</v>
      </c>
      <c r="I18" s="3">
        <f t="shared" ca="1" si="0"/>
        <v>0</v>
      </c>
      <c r="J18" s="3">
        <f t="shared" ca="1" si="1"/>
        <v>0</v>
      </c>
    </row>
    <row r="19" spans="1:10" x14ac:dyDescent="0.3">
      <c r="A19" t="str">
        <f>tbl_AR[[#This Row],[Invoice_No]]</f>
        <v>INV-1017</v>
      </c>
      <c r="B19" t="str">
        <f>tbl_AR[[#This Row],[Customer_Name]]</f>
        <v>City Transit Authority</v>
      </c>
      <c r="C19">
        <f>tbl_AR[[#This Row],[Balance]]</f>
        <v>19200</v>
      </c>
      <c r="D19" s="1">
        <f>tbl_AR[[#This Row],[Invoice_Date]]</f>
        <v>45983</v>
      </c>
      <c r="E19" s="3">
        <f ca="1">INT(TODAY()-Table2[[#This Row],[Invoice_Date]])</f>
        <v>36</v>
      </c>
      <c r="F19" s="3">
        <f ca="1">IF(Table2[[#This Row],[Days_Old]]&lt;=30,Table2[[#This Row],[Balance]],0)</f>
        <v>0</v>
      </c>
      <c r="G19" s="3">
        <f ca="1">IF(AND(Table2[[#This Row],[Days_Old]]&gt;30,Table2[[#This Row],[Days_Old]]&lt;=60),Table2[[#This Row],[Balance]],0)</f>
        <v>19200</v>
      </c>
      <c r="H19" s="3">
        <f ca="1">IF(AND(E19&gt;30,E19&lt;=60),Table2[[#This Row],[Balance]],0)</f>
        <v>19200</v>
      </c>
      <c r="I19" s="3">
        <f t="shared" ca="1" si="0"/>
        <v>0</v>
      </c>
      <c r="J19" s="3">
        <f t="shared" ca="1" si="1"/>
        <v>0</v>
      </c>
    </row>
    <row r="20" spans="1:10" x14ac:dyDescent="0.3">
      <c r="A20" t="str">
        <f>tbl_AR[[#This Row],[Invoice_No]]</f>
        <v>INV-1018</v>
      </c>
      <c r="B20" t="str">
        <f>tbl_AR[[#This Row],[Customer_Name]]</f>
        <v>Elite Car Service</v>
      </c>
      <c r="C20">
        <f>tbl_AR[[#This Row],[Balance]]</f>
        <v>3950</v>
      </c>
      <c r="D20" s="1">
        <f>tbl_AR[[#This Row],[Invoice_Date]]</f>
        <v>45894</v>
      </c>
      <c r="E20" s="3">
        <f ca="1">INT(TODAY()-Table2[[#This Row],[Invoice_Date]])</f>
        <v>125</v>
      </c>
      <c r="F20" s="3">
        <f ca="1">IF(Table2[[#This Row],[Days_Old]]&lt;=30,Table2[[#This Row],[Balance]],0)</f>
        <v>0</v>
      </c>
      <c r="G20" s="3">
        <f ca="1">IF(AND(Table2[[#This Row],[Days_Old]]&gt;30,Table2[[#This Row],[Days_Old]]&lt;=60),Table2[[#This Row],[Balance]],0)</f>
        <v>0</v>
      </c>
      <c r="H20" s="3">
        <f ca="1">IF(AND(E20&gt;30,E20&lt;=60),Table2[[#This Row],[Balance]],0)</f>
        <v>0</v>
      </c>
      <c r="I20" s="3">
        <f t="shared" ca="1" si="0"/>
        <v>0</v>
      </c>
      <c r="J20" s="3">
        <f t="shared" ca="1" si="1"/>
        <v>3950</v>
      </c>
    </row>
    <row r="21" spans="1:10" x14ac:dyDescent="0.3">
      <c r="A21" t="str">
        <f>tbl_AR[[#This Row],[Invoice_No]]</f>
        <v>INV-1019</v>
      </c>
      <c r="B21" t="str">
        <f>tbl_AR[[#This Row],[Customer_Name]]</f>
        <v>Downtown Dealership</v>
      </c>
      <c r="C21">
        <f>tbl_AR[[#This Row],[Balance]]</f>
        <v>0</v>
      </c>
      <c r="D21" s="1">
        <f>tbl_AR[[#This Row],[Invoice_Date]]</f>
        <v>45973</v>
      </c>
      <c r="E21" s="3">
        <f ca="1">INT(TODAY()-Table2[[#This Row],[Invoice_Date]])</f>
        <v>46</v>
      </c>
      <c r="F21" s="3">
        <f ca="1">IF(Table2[[#This Row],[Days_Old]]&lt;=30,Table2[[#This Row],[Balance]],0)</f>
        <v>0</v>
      </c>
      <c r="G21" s="3">
        <f ca="1">IF(AND(Table2[[#This Row],[Days_Old]]&gt;30,Table2[[#This Row],[Days_Old]]&lt;=60),Table2[[#This Row],[Balance]],0)</f>
        <v>0</v>
      </c>
      <c r="H21" s="3">
        <f ca="1">IF(AND(E21&gt;30,E21&lt;=60),Table2[[#This Row],[Balance]],0)</f>
        <v>0</v>
      </c>
      <c r="I21" s="3">
        <f t="shared" ca="1" si="0"/>
        <v>0</v>
      </c>
      <c r="J21" s="3">
        <f t="shared" ca="1" si="1"/>
        <v>0</v>
      </c>
    </row>
    <row r="22" spans="1:10" x14ac:dyDescent="0.3">
      <c r="A22" t="str">
        <f>tbl_AR[[#This Row],[Invoice_No]]</f>
        <v>INV-1020</v>
      </c>
      <c r="B22" t="str">
        <f>tbl_AR[[#This Row],[Customer_Name]]</f>
        <v>Global Shipping Corp</v>
      </c>
      <c r="C22">
        <f>tbl_AR[[#This Row],[Balance]]</f>
        <v>28500</v>
      </c>
      <c r="D22" s="1">
        <f>tbl_AR[[#This Row],[Invoice_Date]]</f>
        <v>45948</v>
      </c>
      <c r="E22" s="3">
        <f ca="1">INT(TODAY()-Table2[[#This Row],[Invoice_Date]])</f>
        <v>71</v>
      </c>
      <c r="F22" s="3">
        <f ca="1">IF(Table2[[#This Row],[Days_Old]]&lt;=30,Table2[[#This Row],[Balance]],0)</f>
        <v>0</v>
      </c>
      <c r="G22" s="3">
        <f ca="1">IF(AND(Table2[[#This Row],[Days_Old]]&gt;30,Table2[[#This Row],[Days_Old]]&lt;=60),Table2[[#This Row],[Balance]],0)</f>
        <v>0</v>
      </c>
      <c r="H22" s="3">
        <f ca="1">IF(AND(E22&gt;30,E22&lt;=60),Table2[[#This Row],[Balance]],0)</f>
        <v>0</v>
      </c>
      <c r="I22" s="3">
        <f t="shared" ca="1" si="0"/>
        <v>0</v>
      </c>
      <c r="J22" s="3">
        <f t="shared" ca="1" si="1"/>
        <v>0</v>
      </c>
    </row>
    <row r="23" spans="1:10" x14ac:dyDescent="0.3">
      <c r="A23" t="str">
        <f>tbl_AR[[#This Row],[Invoice_No]]</f>
        <v>INV-1021</v>
      </c>
      <c r="B23" t="str">
        <f>tbl_AR[[#This Row],[Customer_Name]]</f>
        <v>ABC Motors Ltd</v>
      </c>
      <c r="C23">
        <f>tbl_AR[[#This Row],[Balance]]</f>
        <v>9100</v>
      </c>
      <c r="D23" s="1">
        <f>tbl_AR[[#This Row],[Invoice_Date]]</f>
        <v>45991</v>
      </c>
      <c r="E23" s="3">
        <f ca="1">INT(TODAY()-Table2[[#This Row],[Invoice_Date]])</f>
        <v>28</v>
      </c>
      <c r="F23" s="3">
        <f ca="1">IF(Table2[[#This Row],[Days_Old]]&lt;=30,Table2[[#This Row],[Balance]],0)</f>
        <v>9100</v>
      </c>
      <c r="G23" s="3">
        <f ca="1">IF(AND(Table2[[#This Row],[Days_Old]]&gt;30,Table2[[#This Row],[Days_Old]]&lt;=60),Table2[[#This Row],[Balance]],0)</f>
        <v>0</v>
      </c>
      <c r="H23" s="3">
        <f ca="1">IF(AND(E23&gt;30,E23&lt;=60),Table2[[#This Row],[Balance]],0)</f>
        <v>0</v>
      </c>
      <c r="I23" s="3">
        <f t="shared" ca="1" si="0"/>
        <v>0</v>
      </c>
      <c r="J23" s="3">
        <f t="shared" ca="1" si="1"/>
        <v>0</v>
      </c>
    </row>
    <row r="24" spans="1:10" x14ac:dyDescent="0.3">
      <c r="A24" t="str">
        <f>tbl_AR[[#This Row],[Invoice_No]]</f>
        <v>INV-1022</v>
      </c>
      <c r="B24" t="str">
        <f>tbl_AR[[#This Row],[Customer_Name]]</f>
        <v>Metro Car Rental</v>
      </c>
      <c r="C24">
        <f>tbl_AR[[#This Row],[Balance]]</f>
        <v>12300</v>
      </c>
      <c r="D24" s="1">
        <f>tbl_AR[[#This Row],[Invoice_Date]]</f>
        <v>45994</v>
      </c>
      <c r="E24" s="3">
        <f ca="1">INT(TODAY()-Table2[[#This Row],[Invoice_Date]])</f>
        <v>25</v>
      </c>
      <c r="F24" s="3">
        <f ca="1">IF(Table2[[#This Row],[Days_Old]]&lt;=30,Table2[[#This Row],[Balance]],0)</f>
        <v>12300</v>
      </c>
      <c r="G24" s="3">
        <f ca="1">IF(AND(Table2[[#This Row],[Days_Old]]&gt;30,Table2[[#This Row],[Days_Old]]&lt;=60),Table2[[#This Row],[Balance]],0)</f>
        <v>0</v>
      </c>
      <c r="H24" s="3">
        <f ca="1">IF(AND(E24&gt;30,E24&lt;=60),Table2[[#This Row],[Balance]],0)</f>
        <v>0</v>
      </c>
      <c r="I24" s="3">
        <f t="shared" ca="1" si="0"/>
        <v>0</v>
      </c>
      <c r="J24" s="3">
        <f t="shared" ca="1" si="1"/>
        <v>0</v>
      </c>
    </row>
    <row r="25" spans="1:10" x14ac:dyDescent="0.3">
      <c r="A25" t="str">
        <f>tbl_AR[[#This Row],[Invoice_No]]</f>
        <v>INV-1023</v>
      </c>
      <c r="B25" t="str">
        <f>tbl_AR[[#This Row],[Customer_Name]]</f>
        <v>Superior Auto Group</v>
      </c>
      <c r="C25">
        <f>tbl_AR[[#This Row],[Balance]]</f>
        <v>21700</v>
      </c>
      <c r="D25" s="1">
        <f>tbl_AR[[#This Row],[Invoice_Date]]</f>
        <v>45920</v>
      </c>
      <c r="E25" s="3">
        <f ca="1">INT(TODAY()-Table2[[#This Row],[Invoice_Date]])</f>
        <v>99</v>
      </c>
      <c r="F25" s="3">
        <f ca="1">IF(Table2[[#This Row],[Days_Old]]&lt;=30,Table2[[#This Row],[Balance]],0)</f>
        <v>0</v>
      </c>
      <c r="G25" s="3">
        <f ca="1">IF(AND(Table2[[#This Row],[Days_Old]]&gt;30,Table2[[#This Row],[Days_Old]]&lt;=60),Table2[[#This Row],[Balance]],0)</f>
        <v>0</v>
      </c>
      <c r="H25" s="3">
        <f ca="1">IF(AND(E25&gt;30,E25&lt;=60),Table2[[#This Row],[Balance]],0)</f>
        <v>0</v>
      </c>
      <c r="I25" s="3">
        <f t="shared" ca="1" si="0"/>
        <v>21700</v>
      </c>
      <c r="J25" s="3">
        <f t="shared" ca="1" si="1"/>
        <v>0</v>
      </c>
    </row>
    <row r="26" spans="1:10" x14ac:dyDescent="0.3">
      <c r="A26" t="str">
        <f>tbl_AR[[#This Row],[Invoice_No]]</f>
        <v>INV-1024</v>
      </c>
      <c r="B26" t="str">
        <f>tbl_AR[[#This Row],[Customer_Name]]</f>
        <v>XYZ Repairs Inc</v>
      </c>
      <c r="C26">
        <f>tbl_AR[[#This Row],[Balance]]</f>
        <v>4850</v>
      </c>
      <c r="D26" s="1">
        <f>tbl_AR[[#This Row],[Invoice_Date]]</f>
        <v>45979</v>
      </c>
      <c r="E26" s="3">
        <f ca="1">INT(TODAY()-Table2[[#This Row],[Invoice_Date]])</f>
        <v>40</v>
      </c>
      <c r="F26" s="3">
        <f ca="1">IF(Table2[[#This Row],[Days_Old]]&lt;=30,Table2[[#This Row],[Balance]],0)</f>
        <v>0</v>
      </c>
      <c r="G26" s="3">
        <f ca="1">IF(AND(Table2[[#This Row],[Days_Old]]&gt;30,Table2[[#This Row],[Days_Old]]&lt;=60),Table2[[#This Row],[Balance]],0)</f>
        <v>4850</v>
      </c>
      <c r="H26" s="3">
        <f ca="1">IF(AND(E26&gt;30,E26&lt;=60),Table2[[#This Row],[Balance]],0)</f>
        <v>4850</v>
      </c>
      <c r="I26" s="3">
        <f t="shared" ca="1" si="0"/>
        <v>0</v>
      </c>
      <c r="J26" s="3">
        <f t="shared" ca="1" si="1"/>
        <v>0</v>
      </c>
    </row>
    <row r="27" spans="1:10" x14ac:dyDescent="0.3">
      <c r="A27" t="str">
        <f>tbl_AR[[#This Row],[Invoice_No]]</f>
        <v>INV-1025</v>
      </c>
      <c r="B27" t="str">
        <f>tbl_AR[[#This Row],[Customer_Name]]</f>
        <v>Fleet Management Co</v>
      </c>
      <c r="C27">
        <f>tbl_AR[[#This Row],[Balance]]</f>
        <v>17900</v>
      </c>
      <c r="D27" s="1">
        <f>tbl_AR[[#This Row],[Invoice_Date]]</f>
        <v>45997</v>
      </c>
      <c r="E27" s="3">
        <f ca="1">INT(TODAY()-Table2[[#This Row],[Invoice_Date]])</f>
        <v>22</v>
      </c>
      <c r="F27" s="3">
        <f ca="1">IF(Table2[[#This Row],[Days_Old]]&lt;=30,Table2[[#This Row],[Balance]],0)</f>
        <v>17900</v>
      </c>
      <c r="G27" s="3">
        <f ca="1">IF(AND(Table2[[#This Row],[Days_Old]]&gt;30,Table2[[#This Row],[Days_Old]]&lt;=60),Table2[[#This Row],[Balance]],0)</f>
        <v>0</v>
      </c>
      <c r="H27" s="3">
        <f ca="1">IF(AND(E27&gt;30,E27&lt;=60),Table2[[#This Row],[Balance]],0)</f>
        <v>0</v>
      </c>
      <c r="I27" s="3">
        <f t="shared" ca="1" si="0"/>
        <v>0</v>
      </c>
      <c r="J27" s="3">
        <f t="shared" ca="1" si="1"/>
        <v>0</v>
      </c>
    </row>
    <row r="28" spans="1:10" x14ac:dyDescent="0.3">
      <c r="A28" t="str">
        <f>tbl_AR[[#This Row],[Invoice_No]]</f>
        <v>INV-1026</v>
      </c>
      <c r="B28" t="str">
        <f>tbl_AR[[#This Row],[Customer_Name]]</f>
        <v>Express Delivery Co</v>
      </c>
      <c r="C28">
        <f>tbl_AR[[#This Row],[Balance]]</f>
        <v>8200</v>
      </c>
      <c r="D28" s="1">
        <f>tbl_AR[[#This Row],[Invoice_Date]]</f>
        <v>45955</v>
      </c>
      <c r="E28" s="3">
        <f ca="1">INT(TODAY()-Table2[[#This Row],[Invoice_Date]])</f>
        <v>64</v>
      </c>
      <c r="F28" s="3">
        <f ca="1">IF(Table2[[#This Row],[Days_Old]]&lt;=30,Table2[[#This Row],[Balance]],0)</f>
        <v>0</v>
      </c>
      <c r="G28" s="3">
        <f ca="1">IF(AND(Table2[[#This Row],[Days_Old]]&gt;30,Table2[[#This Row],[Days_Old]]&lt;=60),Table2[[#This Row],[Balance]],0)</f>
        <v>0</v>
      </c>
      <c r="H28" s="3">
        <f ca="1">IF(AND(E28&gt;30,E28&lt;=60),Table2[[#This Row],[Balance]],0)</f>
        <v>0</v>
      </c>
      <c r="I28" s="3">
        <f t="shared" ca="1" si="0"/>
        <v>0</v>
      </c>
      <c r="J28" s="3">
        <f t="shared" ca="1" si="1"/>
        <v>0</v>
      </c>
    </row>
    <row r="29" spans="1:10" x14ac:dyDescent="0.3">
      <c r="A29" t="str">
        <f>tbl_AR[[#This Row],[Invoice_No]]</f>
        <v>INV-1027</v>
      </c>
      <c r="B29" t="str">
        <f>tbl_AR[[#This Row],[Customer_Name]]</f>
        <v>Budget Rent-a-Car</v>
      </c>
      <c r="C29">
        <f>tbl_AR[[#This Row],[Balance]]</f>
        <v>6500</v>
      </c>
      <c r="D29" s="1">
        <f>tbl_AR[[#This Row],[Invoice_Date]]</f>
        <v>46000</v>
      </c>
      <c r="E29" s="3">
        <f ca="1">INT(TODAY()-Table2[[#This Row],[Invoice_Date]])</f>
        <v>19</v>
      </c>
      <c r="F29" s="3">
        <f ca="1">IF(Table2[[#This Row],[Days_Old]]&lt;=30,Table2[[#This Row],[Balance]],0)</f>
        <v>6500</v>
      </c>
      <c r="G29" s="3">
        <f ca="1">IF(AND(Table2[[#This Row],[Days_Old]]&gt;30,Table2[[#This Row],[Days_Old]]&lt;=60),Table2[[#This Row],[Balance]],0)</f>
        <v>0</v>
      </c>
      <c r="H29" s="3">
        <f ca="1">IF(AND(E29&gt;30,E29&lt;=60),Table2[[#This Row],[Balance]],0)</f>
        <v>0</v>
      </c>
      <c r="I29" s="3">
        <f t="shared" ca="1" si="0"/>
        <v>0</v>
      </c>
      <c r="J29" s="3">
        <f t="shared" ca="1" si="1"/>
        <v>0</v>
      </c>
    </row>
    <row r="30" spans="1:10" x14ac:dyDescent="0.3">
      <c r="A30" t="str">
        <f>tbl_AR[[#This Row],[Invoice_No]]</f>
        <v>INV-1028</v>
      </c>
      <c r="B30" t="str">
        <f>tbl_AR[[#This Row],[Customer_Name]]</f>
        <v>Premier Logistics</v>
      </c>
      <c r="C30">
        <f>tbl_AR[[#This Row],[Balance]]</f>
        <v>7600</v>
      </c>
      <c r="D30" s="1">
        <f>tbl_AR[[#This Row],[Invoice_Date]]</f>
        <v>45966</v>
      </c>
      <c r="E30" s="3">
        <f ca="1">INT(TODAY()-Table2[[#This Row],[Invoice_Date]])</f>
        <v>53</v>
      </c>
      <c r="F30" s="3">
        <f ca="1">IF(Table2[[#This Row],[Days_Old]]&lt;=30,Table2[[#This Row],[Balance]],0)</f>
        <v>0</v>
      </c>
      <c r="G30" s="3">
        <f ca="1">IF(AND(Table2[[#This Row],[Days_Old]]&gt;30,Table2[[#This Row],[Days_Old]]&lt;=60),Table2[[#This Row],[Balance]],0)</f>
        <v>7600</v>
      </c>
      <c r="H30" s="3">
        <f ca="1">IF(AND(E30&gt;30,E30&lt;=60),Table2[[#This Row],[Balance]],0)</f>
        <v>7600</v>
      </c>
      <c r="I30" s="3">
        <f t="shared" ca="1" si="0"/>
        <v>0</v>
      </c>
      <c r="J30" s="3">
        <f t="shared" ca="1" si="1"/>
        <v>0</v>
      </c>
    </row>
    <row r="31" spans="1:10" x14ac:dyDescent="0.3">
      <c r="A31" t="str">
        <f>tbl_AR[[#This Row],[Invoice_No]]</f>
        <v>INV-1029</v>
      </c>
      <c r="B31" t="str">
        <f>tbl_AR[[#This Row],[Customer_Name]]</f>
        <v>Rideshare Fleet Ltd</v>
      </c>
      <c r="C31">
        <f>tbl_AR[[#This Row],[Balance]]</f>
        <v>25800</v>
      </c>
      <c r="D31" s="1">
        <f>tbl_AR[[#This Row],[Invoice_Date]]</f>
        <v>45912</v>
      </c>
      <c r="E31" s="3">
        <f ca="1">INT(TODAY()-Table2[[#This Row],[Invoice_Date]])</f>
        <v>107</v>
      </c>
      <c r="F31" s="3">
        <f ca="1">IF(Table2[[#This Row],[Days_Old]]&lt;=30,Table2[[#This Row],[Balance]],0)</f>
        <v>0</v>
      </c>
      <c r="G31" s="3">
        <f ca="1">IF(AND(Table2[[#This Row],[Days_Old]]&gt;30,Table2[[#This Row],[Days_Old]]&lt;=60),Table2[[#This Row],[Balance]],0)</f>
        <v>0</v>
      </c>
      <c r="H31" s="3">
        <f ca="1">IF(AND(E31&gt;30,E31&lt;=60),Table2[[#This Row],[Balance]],0)</f>
        <v>0</v>
      </c>
      <c r="I31" s="3">
        <f t="shared" ca="1" si="0"/>
        <v>25800</v>
      </c>
      <c r="J31" s="3">
        <f t="shared" ca="1" si="1"/>
        <v>0</v>
      </c>
    </row>
    <row r="32" spans="1:10" x14ac:dyDescent="0.3">
      <c r="A32" t="str">
        <f>tbl_AR[[#This Row],[Invoice_No]]</f>
        <v>INV-1030</v>
      </c>
      <c r="B32" t="str">
        <f>tbl_AR[[#This Row],[Customer_Name]]</f>
        <v>Tech Transport Inc</v>
      </c>
      <c r="C32">
        <f>tbl_AR[[#This Row],[Balance]]</f>
        <v>10400</v>
      </c>
      <c r="D32" s="1">
        <f>tbl_AR[[#This Row],[Invoice_Date]]</f>
        <v>45988</v>
      </c>
      <c r="E32" s="3">
        <f ca="1">INT(TODAY()-Table2[[#This Row],[Invoice_Date]])</f>
        <v>31</v>
      </c>
      <c r="F32" s="3">
        <f ca="1">IF(Table2[[#This Row],[Days_Old]]&lt;=30,Table2[[#This Row],[Balance]],0)</f>
        <v>0</v>
      </c>
      <c r="G32" s="3">
        <f ca="1">IF(AND(Table2[[#This Row],[Days_Old]]&gt;30,Table2[[#This Row],[Days_Old]]&lt;=60),Table2[[#This Row],[Balance]],0)</f>
        <v>10400</v>
      </c>
      <c r="H32" s="3">
        <f ca="1">IF(AND(E32&gt;30,E32&lt;=60),Table2[[#This Row],[Balance]],0)</f>
        <v>10400</v>
      </c>
      <c r="I32" s="3">
        <f t="shared" ca="1" si="0"/>
        <v>0</v>
      </c>
      <c r="J32" s="3">
        <f t="shared" ca="1" si="1"/>
        <v>0</v>
      </c>
    </row>
    <row r="33" spans="1:10" x14ac:dyDescent="0.3">
      <c r="A33" t="str">
        <f>tbl_AR[[#This Row],[Invoice_No]]</f>
        <v>INV-1031</v>
      </c>
      <c r="B33" t="str">
        <f>tbl_AR[[#This Row],[Customer_Name]]</f>
        <v>Quick Auto Service</v>
      </c>
      <c r="C33">
        <f>tbl_AR[[#This Row],[Balance]]</f>
        <v>7900</v>
      </c>
      <c r="D33" s="1">
        <f>tbl_AR[[#This Row],[Invoice_Date]]</f>
        <v>45938</v>
      </c>
      <c r="E33" s="3">
        <f ca="1">INT(TODAY()-Table2[[#This Row],[Invoice_Date]])</f>
        <v>81</v>
      </c>
      <c r="F33" s="3">
        <f ca="1">IF(Table2[[#This Row],[Days_Old]]&lt;=30,Table2[[#This Row],[Balance]],0)</f>
        <v>0</v>
      </c>
      <c r="G33" s="3">
        <f ca="1">IF(AND(Table2[[#This Row],[Days_Old]]&gt;30,Table2[[#This Row],[Days_Old]]&lt;=60),Table2[[#This Row],[Balance]],0)</f>
        <v>0</v>
      </c>
      <c r="H33" s="3">
        <f ca="1">IF(AND(E33&gt;30,E33&lt;=60),Table2[[#This Row],[Balance]],0)</f>
        <v>0</v>
      </c>
      <c r="I33" s="3">
        <f t="shared" ca="1" si="0"/>
        <v>0</v>
      </c>
      <c r="J33" s="3">
        <f t="shared" ca="1" si="1"/>
        <v>0</v>
      </c>
    </row>
    <row r="34" spans="1:10" x14ac:dyDescent="0.3">
      <c r="A34" t="str">
        <f>tbl_AR[[#This Row],[Invoice_No]]</f>
        <v>INV-1032</v>
      </c>
      <c r="B34" t="str">
        <f>tbl_AR[[#This Row],[Customer_Name]]</f>
        <v>Elite Car Service</v>
      </c>
      <c r="C34">
        <f>tbl_AR[[#This Row],[Balance]]</f>
        <v>5750</v>
      </c>
      <c r="D34" s="1">
        <f>tbl_AR[[#This Row],[Invoice_Date]]</f>
        <v>45993</v>
      </c>
      <c r="E34" s="3">
        <f ca="1">INT(TODAY()-Table2[[#This Row],[Invoice_Date]])</f>
        <v>26</v>
      </c>
      <c r="F34" s="3">
        <f ca="1">IF(Table2[[#This Row],[Days_Old]]&lt;=30,Table2[[#This Row],[Balance]],0)</f>
        <v>5750</v>
      </c>
      <c r="G34" s="3">
        <f ca="1">IF(AND(Table2[[#This Row],[Days_Old]]&gt;30,Table2[[#This Row],[Days_Old]]&lt;=60),Table2[[#This Row],[Balance]],0)</f>
        <v>0</v>
      </c>
      <c r="H34" s="3">
        <f ca="1">IF(AND(E34&gt;30,E34&lt;=60),Table2[[#This Row],[Balance]],0)</f>
        <v>0</v>
      </c>
      <c r="I34" s="3">
        <f t="shared" ca="1" si="0"/>
        <v>0</v>
      </c>
      <c r="J34" s="3">
        <f t="shared" ca="1" si="1"/>
        <v>0</v>
      </c>
    </row>
    <row r="35" spans="1:10" x14ac:dyDescent="0.3">
      <c r="A35" t="str">
        <f>tbl_AR[[#This Row],[Invoice_No]]</f>
        <v>INV-1033</v>
      </c>
      <c r="B35" t="str">
        <f>tbl_AR[[#This Row],[Customer_Name]]</f>
        <v>City Transit Authority</v>
      </c>
      <c r="C35">
        <f>tbl_AR[[#This Row],[Balance]]</f>
        <v>32100</v>
      </c>
      <c r="D35" s="1">
        <f>tbl_AR[[#This Row],[Invoice_Date]]</f>
        <v>45930</v>
      </c>
      <c r="E35" s="3">
        <f ca="1">INT(TODAY()-Table2[[#This Row],[Invoice_Date]])</f>
        <v>89</v>
      </c>
      <c r="F35" s="3">
        <f ca="1">IF(Table2[[#This Row],[Days_Old]]&lt;=30,Table2[[#This Row],[Balance]],0)</f>
        <v>0</v>
      </c>
      <c r="G35" s="3">
        <f ca="1">IF(AND(Table2[[#This Row],[Days_Old]]&gt;30,Table2[[#This Row],[Days_Old]]&lt;=60),Table2[[#This Row],[Balance]],0)</f>
        <v>0</v>
      </c>
      <c r="H35" s="3">
        <f ca="1">IF(AND(E35&gt;30,E35&lt;=60),Table2[[#This Row],[Balance]],0)</f>
        <v>0</v>
      </c>
      <c r="I35" s="3">
        <f t="shared" ca="1" si="0"/>
        <v>0</v>
      </c>
      <c r="J35" s="3">
        <f t="shared" ca="1" si="1"/>
        <v>0</v>
      </c>
    </row>
    <row r="36" spans="1:10" x14ac:dyDescent="0.3">
      <c r="A36" t="str">
        <f>tbl_AR[[#This Row],[Invoice_No]]</f>
        <v>INV-1034</v>
      </c>
      <c r="B36" t="str">
        <f>tbl_AR[[#This Row],[Customer_Name]]</f>
        <v>Global Shipping Corp</v>
      </c>
      <c r="C36">
        <f>tbl_AR[[#This Row],[Balance]]</f>
        <v>19800</v>
      </c>
      <c r="D36" s="1">
        <f>tbl_AR[[#This Row],[Invoice_Date]]</f>
        <v>45976</v>
      </c>
      <c r="E36" s="3">
        <f ca="1">INT(TODAY()-Table2[[#This Row],[Invoice_Date]])</f>
        <v>43</v>
      </c>
      <c r="F36" s="3">
        <f ca="1">IF(Table2[[#This Row],[Days_Old]]&lt;=30,Table2[[#This Row],[Balance]],0)</f>
        <v>0</v>
      </c>
      <c r="G36" s="3">
        <f ca="1">IF(AND(Table2[[#This Row],[Days_Old]]&gt;30,Table2[[#This Row],[Days_Old]]&lt;=60),Table2[[#This Row],[Balance]],0)</f>
        <v>19800</v>
      </c>
      <c r="H36" s="3">
        <f ca="1">IF(AND(E36&gt;30,E36&lt;=60),Table2[[#This Row],[Balance]],0)</f>
        <v>19800</v>
      </c>
      <c r="I36" s="3">
        <f t="shared" ca="1" si="0"/>
        <v>0</v>
      </c>
      <c r="J36" s="3">
        <f t="shared" ca="1" si="1"/>
        <v>0</v>
      </c>
    </row>
    <row r="37" spans="1:10" x14ac:dyDescent="0.3">
      <c r="A37" t="str">
        <f>tbl_AR[[#This Row],[Invoice_No]]</f>
        <v>INV-1035</v>
      </c>
      <c r="B37" t="str">
        <f>tbl_AR[[#This Row],[Customer_Name]]</f>
        <v>Downtown Dealership</v>
      </c>
      <c r="C37">
        <f>tbl_AR[[#This Row],[Balance]]</f>
        <v>11500</v>
      </c>
      <c r="D37" s="1">
        <f>tbl_AR[[#This Row],[Invoice_Date]]</f>
        <v>45952</v>
      </c>
      <c r="E37" s="3">
        <f ca="1">INT(TODAY()-Table2[[#This Row],[Invoice_Date]])</f>
        <v>67</v>
      </c>
      <c r="F37" s="3">
        <f ca="1">IF(Table2[[#This Row],[Days_Old]]&lt;=30,Table2[[#This Row],[Balance]],0)</f>
        <v>0</v>
      </c>
      <c r="G37" s="3">
        <f ca="1">IF(AND(Table2[[#This Row],[Days_Old]]&gt;30,Table2[[#This Row],[Days_Old]]&lt;=60),Table2[[#This Row],[Balance]],0)</f>
        <v>0</v>
      </c>
      <c r="H37" s="3">
        <f ca="1">IF(AND(E37&gt;30,E37&lt;=60),Table2[[#This Row],[Balance]],0)</f>
        <v>0</v>
      </c>
      <c r="I37" s="3">
        <f t="shared" ca="1" si="0"/>
        <v>0</v>
      </c>
      <c r="J37" s="3">
        <f t="shared" ca="1" si="1"/>
        <v>0</v>
      </c>
    </row>
    <row r="38" spans="1:10" x14ac:dyDescent="0.3">
      <c r="A38" t="str">
        <f>tbl_AR[[#This Row],[Invoice_No]]</f>
        <v>INV-1036</v>
      </c>
      <c r="B38" t="str">
        <f>tbl_AR[[#This Row],[Customer_Name]]</f>
        <v>ABC Motors Ltd</v>
      </c>
      <c r="C38">
        <f>tbl_AR[[#This Row],[Balance]]</f>
        <v>8650</v>
      </c>
      <c r="D38" s="1">
        <f>tbl_AR[[#This Row],[Invoice_Date]]</f>
        <v>46001</v>
      </c>
      <c r="E38" s="3">
        <f ca="1">INT(TODAY()-Table2[[#This Row],[Invoice_Date]])</f>
        <v>18</v>
      </c>
      <c r="F38" s="3">
        <f ca="1">IF(Table2[[#This Row],[Days_Old]]&lt;=30,Table2[[#This Row],[Balance]],0)</f>
        <v>8650</v>
      </c>
      <c r="G38" s="3">
        <f ca="1">IF(AND(Table2[[#This Row],[Days_Old]]&gt;30,Table2[[#This Row],[Days_Old]]&lt;=60),Table2[[#This Row],[Balance]],0)</f>
        <v>0</v>
      </c>
      <c r="H38" s="3">
        <f ca="1">IF(AND(E38&gt;30,E38&lt;=60),Table2[[#This Row],[Balance]],0)</f>
        <v>0</v>
      </c>
      <c r="I38" s="3">
        <f t="shared" ca="1" si="0"/>
        <v>0</v>
      </c>
      <c r="J38" s="3">
        <f t="shared" ca="1" si="1"/>
        <v>0</v>
      </c>
    </row>
    <row r="39" spans="1:10" x14ac:dyDescent="0.3">
      <c r="A39" t="str">
        <f>tbl_AR[[#This Row],[Invoice_No]]</f>
        <v>INV-1037</v>
      </c>
      <c r="B39" t="str">
        <f>tbl_AR[[#This Row],[Customer_Name]]</f>
        <v>Metro Car Rental</v>
      </c>
      <c r="C39">
        <f>tbl_AR[[#This Row],[Balance]]</f>
        <v>15200</v>
      </c>
      <c r="D39" s="1">
        <f>tbl_AR[[#This Row],[Invoice_Date]]</f>
        <v>45969</v>
      </c>
      <c r="E39" s="3">
        <f ca="1">INT(TODAY()-Table2[[#This Row],[Invoice_Date]])</f>
        <v>50</v>
      </c>
      <c r="F39" s="3">
        <f ca="1">IF(Table2[[#This Row],[Days_Old]]&lt;=30,Table2[[#This Row],[Balance]],0)</f>
        <v>0</v>
      </c>
      <c r="G39" s="3">
        <f ca="1">IF(AND(Table2[[#This Row],[Days_Old]]&gt;30,Table2[[#This Row],[Days_Old]]&lt;=60),Table2[[#This Row],[Balance]],0)</f>
        <v>15200</v>
      </c>
      <c r="H39" s="3">
        <f ca="1">IF(AND(E39&gt;30,E39&lt;=60),Table2[[#This Row],[Balance]],0)</f>
        <v>15200</v>
      </c>
      <c r="I39" s="3">
        <f t="shared" ca="1" si="0"/>
        <v>0</v>
      </c>
      <c r="J39" s="3">
        <f t="shared" ca="1" si="1"/>
        <v>0</v>
      </c>
    </row>
    <row r="40" spans="1:10" x14ac:dyDescent="0.3">
      <c r="A40" t="str">
        <f>tbl_AR[[#This Row],[Invoice_No]]</f>
        <v>INV-1038</v>
      </c>
      <c r="B40" t="str">
        <f>tbl_AR[[#This Row],[Customer_Name]]</f>
        <v>Superior Auto Group</v>
      </c>
      <c r="C40">
        <f>tbl_AR[[#This Row],[Balance]]</f>
        <v>12900</v>
      </c>
      <c r="D40" s="1">
        <f>tbl_AR[[#This Row],[Invoice_Date]]</f>
        <v>45995</v>
      </c>
      <c r="E40" s="3">
        <f ca="1">INT(TODAY()-Table2[[#This Row],[Invoice_Date]])</f>
        <v>24</v>
      </c>
      <c r="F40" s="3">
        <f ca="1">IF(Table2[[#This Row],[Days_Old]]&lt;=30,Table2[[#This Row],[Balance]],0)</f>
        <v>12900</v>
      </c>
      <c r="G40" s="3">
        <f ca="1">IF(AND(Table2[[#This Row],[Days_Old]]&gt;30,Table2[[#This Row],[Days_Old]]&lt;=60),Table2[[#This Row],[Balance]],0)</f>
        <v>0</v>
      </c>
      <c r="H40" s="3">
        <f ca="1">IF(AND(E40&gt;30,E40&lt;=60),Table2[[#This Row],[Balance]],0)</f>
        <v>0</v>
      </c>
      <c r="I40" s="3">
        <f t="shared" ca="1" si="0"/>
        <v>0</v>
      </c>
      <c r="J40" s="3">
        <f t="shared" ca="1" si="1"/>
        <v>0</v>
      </c>
    </row>
    <row r="41" spans="1:10" x14ac:dyDescent="0.3">
      <c r="A41" t="str">
        <f>tbl_AR[[#This Row],[Invoice_No]]</f>
        <v>INV-1039</v>
      </c>
      <c r="B41" t="str">
        <f>tbl_AR[[#This Row],[Customer_Name]]</f>
        <v>XYZ Repairs Inc</v>
      </c>
      <c r="C41">
        <f>tbl_AR[[#This Row],[Balance]]</f>
        <v>6300</v>
      </c>
      <c r="D41" s="1">
        <f>tbl_AR[[#This Row],[Invoice_Date]]</f>
        <v>45918</v>
      </c>
      <c r="E41" s="3">
        <f ca="1">INT(TODAY()-Table2[[#This Row],[Invoice_Date]])</f>
        <v>101</v>
      </c>
      <c r="F41" s="3">
        <f ca="1">IF(Table2[[#This Row],[Days_Old]]&lt;=30,Table2[[#This Row],[Balance]],0)</f>
        <v>0</v>
      </c>
      <c r="G41" s="3">
        <f ca="1">IF(AND(Table2[[#This Row],[Days_Old]]&gt;30,Table2[[#This Row],[Days_Old]]&lt;=60),Table2[[#This Row],[Balance]],0)</f>
        <v>0</v>
      </c>
      <c r="H41" s="3">
        <f ca="1">IF(AND(E41&gt;30,E41&lt;=60),Table2[[#This Row],[Balance]],0)</f>
        <v>0</v>
      </c>
      <c r="I41" s="3">
        <f t="shared" ca="1" si="0"/>
        <v>6300</v>
      </c>
      <c r="J41" s="3">
        <f t="shared" ca="1" si="1"/>
        <v>0</v>
      </c>
    </row>
    <row r="42" spans="1:10" x14ac:dyDescent="0.3">
      <c r="A42" t="str">
        <f>tbl_AR[[#This Row],[Invoice_No]]</f>
        <v>INV-1040</v>
      </c>
      <c r="B42" t="str">
        <f>tbl_AR[[#This Row],[Customer_Name]]</f>
        <v>Fleet Management Co</v>
      </c>
      <c r="C42">
        <f>tbl_AR[[#This Row],[Balance]]</f>
        <v>20100</v>
      </c>
      <c r="D42" s="1">
        <f>tbl_AR[[#This Row],[Invoice_Date]]</f>
        <v>45987</v>
      </c>
      <c r="E42" s="3">
        <f ca="1">INT(TODAY()-Table2[[#This Row],[Invoice_Date]])</f>
        <v>32</v>
      </c>
      <c r="F42" s="3">
        <f ca="1">IF(Table2[[#This Row],[Days_Old]]&lt;=30,Table2[[#This Row],[Balance]],0)</f>
        <v>0</v>
      </c>
      <c r="G42" s="3">
        <f ca="1">IF(AND(Table2[[#This Row],[Days_Old]]&gt;30,Table2[[#This Row],[Days_Old]]&lt;=60),Table2[[#This Row],[Balance]],0)</f>
        <v>20100</v>
      </c>
      <c r="H42" s="3">
        <f ca="1">IF(AND(E42&gt;30,E42&lt;=60),Table2[[#This Row],[Balance]],0)</f>
        <v>20100</v>
      </c>
      <c r="I42" s="3">
        <f t="shared" ca="1" si="0"/>
        <v>0</v>
      </c>
      <c r="J42" s="3">
        <f t="shared" ca="1" si="1"/>
        <v>0</v>
      </c>
    </row>
    <row r="43" spans="1:10" x14ac:dyDescent="0.3">
      <c r="A43" t="str">
        <f>tbl_AR[[#This Row],[Invoice_No]]</f>
        <v>INV-1041</v>
      </c>
      <c r="B43" t="str">
        <f>tbl_AR[[#This Row],[Customer_Name]]</f>
        <v>Express Delivery Co</v>
      </c>
      <c r="C43">
        <f>tbl_AR[[#This Row],[Balance]]</f>
        <v>9450</v>
      </c>
      <c r="D43" s="1">
        <f>tbl_AR[[#This Row],[Invoice_Date]]</f>
        <v>45998</v>
      </c>
      <c r="E43" s="3">
        <f ca="1">INT(TODAY()-Table2[[#This Row],[Invoice_Date]])</f>
        <v>21</v>
      </c>
      <c r="F43" s="3">
        <f ca="1">IF(Table2[[#This Row],[Days_Old]]&lt;=30,Table2[[#This Row],[Balance]],0)</f>
        <v>9450</v>
      </c>
      <c r="G43" s="3">
        <f ca="1">IF(AND(Table2[[#This Row],[Days_Old]]&gt;30,Table2[[#This Row],[Days_Old]]&lt;=60),Table2[[#This Row],[Balance]],0)</f>
        <v>0</v>
      </c>
      <c r="H43" s="3">
        <f ca="1">IF(AND(E43&gt;30,E43&lt;=60),Table2[[#This Row],[Balance]],0)</f>
        <v>0</v>
      </c>
      <c r="I43" s="3">
        <f t="shared" ca="1" si="0"/>
        <v>0</v>
      </c>
      <c r="J43" s="3">
        <f t="shared" ca="1" si="1"/>
        <v>0</v>
      </c>
    </row>
    <row r="44" spans="1:10" x14ac:dyDescent="0.3">
      <c r="A44" t="str">
        <f>tbl_AR[[#This Row],[Invoice_No]]</f>
        <v>INV-1042</v>
      </c>
      <c r="B44" t="str">
        <f>tbl_AR[[#This Row],[Customer_Name]]</f>
        <v>Budget Rent-a-Car</v>
      </c>
      <c r="C44">
        <f>tbl_AR[[#This Row],[Balance]]</f>
        <v>13700</v>
      </c>
      <c r="D44" s="1">
        <f>tbl_AR[[#This Row],[Invoice_Date]]</f>
        <v>45942</v>
      </c>
      <c r="E44" s="3">
        <f ca="1">INT(TODAY()-Table2[[#This Row],[Invoice_Date]])</f>
        <v>77</v>
      </c>
      <c r="F44" s="3">
        <f ca="1">IF(Table2[[#This Row],[Days_Old]]&lt;=30,Table2[[#This Row],[Balance]],0)</f>
        <v>0</v>
      </c>
      <c r="G44" s="3">
        <f ca="1">IF(AND(Table2[[#This Row],[Days_Old]]&gt;30,Table2[[#This Row],[Days_Old]]&lt;=60),Table2[[#This Row],[Balance]],0)</f>
        <v>0</v>
      </c>
      <c r="H44" s="3">
        <f ca="1">IF(AND(E44&gt;30,E44&lt;=60),Table2[[#This Row],[Balance]],0)</f>
        <v>0</v>
      </c>
      <c r="I44" s="3">
        <f t="shared" ca="1" si="0"/>
        <v>0</v>
      </c>
      <c r="J44" s="3">
        <f t="shared" ca="1" si="1"/>
        <v>0</v>
      </c>
    </row>
    <row r="45" spans="1:10" x14ac:dyDescent="0.3">
      <c r="A45" t="str">
        <f>tbl_AR[[#This Row],[Invoice_No]]</f>
        <v>INV-1043</v>
      </c>
      <c r="B45" t="str">
        <f>tbl_AR[[#This Row],[Customer_Name]]</f>
        <v>Premier Logistics</v>
      </c>
      <c r="C45">
        <f>tbl_AR[[#This Row],[Balance]]</f>
        <v>16250</v>
      </c>
      <c r="D45" s="1">
        <f>tbl_AR[[#This Row],[Invoice_Date]]</f>
        <v>45990</v>
      </c>
      <c r="E45" s="3">
        <f ca="1">INT(TODAY()-Table2[[#This Row],[Invoice_Date]])</f>
        <v>29</v>
      </c>
      <c r="F45" s="3">
        <f ca="1">IF(Table2[[#This Row],[Days_Old]]&lt;=30,Table2[[#This Row],[Balance]],0)</f>
        <v>16250</v>
      </c>
      <c r="G45" s="3">
        <f ca="1">IF(AND(Table2[[#This Row],[Days_Old]]&gt;30,Table2[[#This Row],[Days_Old]]&lt;=60),Table2[[#This Row],[Balance]],0)</f>
        <v>0</v>
      </c>
      <c r="H45" s="3">
        <f ca="1">IF(AND(E45&gt;30,E45&lt;=60),Table2[[#This Row],[Balance]],0)</f>
        <v>0</v>
      </c>
      <c r="I45" s="3">
        <f t="shared" ca="1" si="0"/>
        <v>0</v>
      </c>
      <c r="J45" s="3">
        <f t="shared" ca="1" si="1"/>
        <v>0</v>
      </c>
    </row>
    <row r="46" spans="1:10" x14ac:dyDescent="0.3">
      <c r="A46" t="str">
        <f>tbl_AR[[#This Row],[Invoice_No]]</f>
        <v>INV-1044</v>
      </c>
      <c r="B46" t="str">
        <f>tbl_AR[[#This Row],[Customer_Name]]</f>
        <v>Rideshare Fleet Ltd</v>
      </c>
      <c r="C46">
        <f>tbl_AR[[#This Row],[Balance]]</f>
        <v>18600</v>
      </c>
      <c r="D46" s="1">
        <f>tbl_AR[[#This Row],[Invoice_Date]]</f>
        <v>46002</v>
      </c>
      <c r="E46" s="3">
        <f ca="1">INT(TODAY()-Table2[[#This Row],[Invoice_Date]])</f>
        <v>17</v>
      </c>
      <c r="F46" s="3">
        <f ca="1">IF(Table2[[#This Row],[Days_Old]]&lt;=30,Table2[[#This Row],[Balance]],0)</f>
        <v>18600</v>
      </c>
      <c r="G46" s="3">
        <f ca="1">IF(AND(Table2[[#This Row],[Days_Old]]&gt;30,Table2[[#This Row],[Days_Old]]&lt;=60),Table2[[#This Row],[Balance]],0)</f>
        <v>0</v>
      </c>
      <c r="H46" s="3">
        <f ca="1">IF(AND(E46&gt;30,E46&lt;=60),Table2[[#This Row],[Balance]],0)</f>
        <v>0</v>
      </c>
      <c r="I46" s="3">
        <f t="shared" ca="1" si="0"/>
        <v>0</v>
      </c>
      <c r="J46" s="3">
        <f t="shared" ca="1" si="1"/>
        <v>0</v>
      </c>
    </row>
    <row r="47" spans="1:10" x14ac:dyDescent="0.3">
      <c r="A47" t="str">
        <f>tbl_AR[[#This Row],[Invoice_No]]</f>
        <v>INV-1045</v>
      </c>
      <c r="B47" t="str">
        <f>tbl_AR[[#This Row],[Customer_Name]]</f>
        <v>Tech Transport Inc</v>
      </c>
      <c r="C47">
        <f>tbl_AR[[#This Row],[Balance]]</f>
        <v>24900</v>
      </c>
      <c r="D47" s="1">
        <f>tbl_AR[[#This Row],[Invoice_Date]]</f>
        <v>45908</v>
      </c>
      <c r="E47" s="3">
        <f ca="1">INT(TODAY()-Table2[[#This Row],[Invoice_Date]])</f>
        <v>111</v>
      </c>
      <c r="F47" s="3">
        <f ca="1">IF(Table2[[#This Row],[Days_Old]]&lt;=30,Table2[[#This Row],[Balance]],0)</f>
        <v>0</v>
      </c>
      <c r="G47" s="3">
        <f ca="1">IF(AND(Table2[[#This Row],[Days_Old]]&gt;30,Table2[[#This Row],[Days_Old]]&lt;=60),Table2[[#This Row],[Balance]],0)</f>
        <v>0</v>
      </c>
      <c r="H47" s="3">
        <f ca="1">IF(AND(E47&gt;30,E47&lt;=60),Table2[[#This Row],[Balance]],0)</f>
        <v>0</v>
      </c>
      <c r="I47" s="3">
        <f t="shared" ca="1" si="0"/>
        <v>24900</v>
      </c>
      <c r="J47" s="3">
        <f t="shared" ca="1" si="1"/>
        <v>0</v>
      </c>
    </row>
    <row r="48" spans="1:10" x14ac:dyDescent="0.3">
      <c r="A48" t="str">
        <f>tbl_AR[[#This Row],[Invoice_No]]</f>
        <v>INV-1046</v>
      </c>
      <c r="B48" t="str">
        <f>tbl_AR[[#This Row],[Customer_Name]]</f>
        <v>Quick Auto Service</v>
      </c>
      <c r="C48">
        <f>tbl_AR[[#This Row],[Balance]]</f>
        <v>7100</v>
      </c>
      <c r="D48" s="1">
        <f>tbl_AR[[#This Row],[Invoice_Date]]</f>
        <v>45984</v>
      </c>
      <c r="E48" s="3">
        <f ca="1">INT(TODAY()-Table2[[#This Row],[Invoice_Date]])</f>
        <v>35</v>
      </c>
      <c r="F48" s="3">
        <f ca="1">IF(Table2[[#This Row],[Days_Old]]&lt;=30,Table2[[#This Row],[Balance]],0)</f>
        <v>0</v>
      </c>
      <c r="G48" s="3">
        <f ca="1">IF(AND(Table2[[#This Row],[Days_Old]]&gt;30,Table2[[#This Row],[Days_Old]]&lt;=60),Table2[[#This Row],[Balance]],0)</f>
        <v>7100</v>
      </c>
      <c r="H48" s="3">
        <f ca="1">IF(AND(E48&gt;30,E48&lt;=60),Table2[[#This Row],[Balance]],0)</f>
        <v>7100</v>
      </c>
      <c r="I48" s="3">
        <f t="shared" ca="1" si="0"/>
        <v>0</v>
      </c>
      <c r="J48" s="3">
        <f t="shared" ca="1" si="1"/>
        <v>0</v>
      </c>
    </row>
    <row r="49" spans="1:10" x14ac:dyDescent="0.3">
      <c r="A49" t="str">
        <f>tbl_AR[[#This Row],[Invoice_No]]</f>
        <v>INV-1047</v>
      </c>
      <c r="B49" t="str">
        <f>tbl_AR[[#This Row],[Customer_Name]]</f>
        <v>Elite Car Service</v>
      </c>
      <c r="C49">
        <f>tbl_AR[[#This Row],[Balance]]</f>
        <v>4500</v>
      </c>
      <c r="D49" s="1">
        <f>tbl_AR[[#This Row],[Invoice_Date]]</f>
        <v>45946</v>
      </c>
      <c r="E49" s="3">
        <f ca="1">INT(TODAY()-Table2[[#This Row],[Invoice_Date]])</f>
        <v>73</v>
      </c>
      <c r="F49" s="3">
        <f ca="1">IF(Table2[[#This Row],[Days_Old]]&lt;=30,Table2[[#This Row],[Balance]],0)</f>
        <v>0</v>
      </c>
      <c r="G49" s="3">
        <f ca="1">IF(AND(Table2[[#This Row],[Days_Old]]&gt;30,Table2[[#This Row],[Days_Old]]&lt;=60),Table2[[#This Row],[Balance]],0)</f>
        <v>0</v>
      </c>
      <c r="H49" s="3">
        <f ca="1">IF(AND(E49&gt;30,E49&lt;=60),Table2[[#This Row],[Balance]],0)</f>
        <v>0</v>
      </c>
      <c r="I49" s="3">
        <f t="shared" ca="1" si="0"/>
        <v>0</v>
      </c>
      <c r="J49" s="3">
        <f t="shared" ca="1" si="1"/>
        <v>0</v>
      </c>
    </row>
    <row r="50" spans="1:10" x14ac:dyDescent="0.3">
      <c r="A50" t="str">
        <f>tbl_AR[[#This Row],[Invoice_No]]</f>
        <v>INV-1048</v>
      </c>
      <c r="B50" t="str">
        <f>tbl_AR[[#This Row],[Customer_Name]]</f>
        <v>City Transit Authority</v>
      </c>
      <c r="C50">
        <f>tbl_AR[[#This Row],[Balance]]</f>
        <v>27300</v>
      </c>
      <c r="D50" s="1">
        <f>tbl_AR[[#This Row],[Invoice_Date]]</f>
        <v>45992</v>
      </c>
      <c r="E50" s="3">
        <f ca="1">INT(TODAY()-Table2[[#This Row],[Invoice_Date]])</f>
        <v>27</v>
      </c>
      <c r="F50" s="3">
        <f ca="1">IF(Table2[[#This Row],[Days_Old]]&lt;=30,Table2[[#This Row],[Balance]],0)</f>
        <v>27300</v>
      </c>
      <c r="G50" s="3">
        <f ca="1">IF(AND(Table2[[#This Row],[Days_Old]]&gt;30,Table2[[#This Row],[Days_Old]]&lt;=60),Table2[[#This Row],[Balance]],0)</f>
        <v>0</v>
      </c>
      <c r="H50" s="3">
        <f ca="1">IF(AND(E50&gt;30,E50&lt;=60),Table2[[#This Row],[Balance]],0)</f>
        <v>0</v>
      </c>
      <c r="I50" s="3">
        <f t="shared" ca="1" si="0"/>
        <v>0</v>
      </c>
      <c r="J50" s="3">
        <f t="shared" ca="1" si="1"/>
        <v>0</v>
      </c>
    </row>
    <row r="51" spans="1:10" x14ac:dyDescent="0.3">
      <c r="A51" t="str">
        <f>tbl_AR[[#This Row],[Invoice_No]]</f>
        <v>INV-1049</v>
      </c>
      <c r="B51" t="str">
        <f>tbl_AR[[#This Row],[Customer_Name]]</f>
        <v>Global Shipping Corp</v>
      </c>
      <c r="C51">
        <f>tbl_AR[[#This Row],[Balance]]</f>
        <v>22650</v>
      </c>
      <c r="D51" s="1">
        <f>tbl_AR[[#This Row],[Invoice_Date]]</f>
        <v>45980</v>
      </c>
      <c r="E51" s="3">
        <f ca="1">INT(TODAY()-Table2[[#This Row],[Invoice_Date]])</f>
        <v>39</v>
      </c>
      <c r="F51" s="3">
        <f ca="1">IF(Table2[[#This Row],[Days_Old]]&lt;=30,Table2[[#This Row],[Balance]],0)</f>
        <v>0</v>
      </c>
      <c r="G51" s="3">
        <f ca="1">IF(AND(Table2[[#This Row],[Days_Old]]&gt;30,Table2[[#This Row],[Days_Old]]&lt;=60),Table2[[#This Row],[Balance]],0)</f>
        <v>22650</v>
      </c>
      <c r="H51" s="3">
        <f ca="1">IF(AND(E51&gt;30,E51&lt;=60),Table2[[#This Row],[Balance]],0)</f>
        <v>22650</v>
      </c>
      <c r="I51" s="3">
        <f t="shared" ca="1" si="0"/>
        <v>0</v>
      </c>
      <c r="J51" s="3">
        <f t="shared" ca="1" si="1"/>
        <v>0</v>
      </c>
    </row>
    <row r="52" spans="1:10" x14ac:dyDescent="0.3">
      <c r="A52" t="str">
        <f>tbl_AR[[#This Row],[Invoice_No]]</f>
        <v>INV-1050</v>
      </c>
      <c r="B52" t="str">
        <f>tbl_AR[[#This Row],[Customer_Name]]</f>
        <v>Downtown Dealership</v>
      </c>
      <c r="C52">
        <f>tbl_AR[[#This Row],[Balance]]</f>
        <v>14800</v>
      </c>
      <c r="D52" s="1">
        <f>tbl_AR[[#This Row],[Invoice_Date]]</f>
        <v>45958</v>
      </c>
      <c r="E52" s="3">
        <f ca="1">INT(TODAY()-Table2[[#This Row],[Invoice_Date]])</f>
        <v>61</v>
      </c>
      <c r="F52" s="3">
        <f ca="1">IF(Table2[[#This Row],[Days_Old]]&lt;=30,Table2[[#This Row],[Balance]],0)</f>
        <v>0</v>
      </c>
      <c r="G52" s="3">
        <f ca="1">IF(AND(Table2[[#This Row],[Days_Old]]&gt;30,Table2[[#This Row],[Days_Old]]&lt;=60),Table2[[#This Row],[Balance]],0)</f>
        <v>0</v>
      </c>
      <c r="H52" s="3">
        <f ca="1">IF(AND(E52&gt;30,E52&lt;=60),Table2[[#This Row],[Balance]],0)</f>
        <v>0</v>
      </c>
      <c r="I52" s="3">
        <f t="shared" ca="1" si="0"/>
        <v>0</v>
      </c>
      <c r="J52" s="3">
        <f t="shared" ca="1" si="1"/>
        <v>0</v>
      </c>
    </row>
    <row r="53" spans="1:10" s="6" customFormat="1" x14ac:dyDescent="0.3">
      <c r="A53" s="6" t="s">
        <v>81</v>
      </c>
      <c r="B53" s="4">
        <f>SUMIF(tbl_AR[Balance],"&gt;0")</f>
        <v>635300</v>
      </c>
      <c r="C53" s="4"/>
      <c r="D53" s="4"/>
      <c r="E53" s="4"/>
      <c r="F53" s="4">
        <f ca="1">SUM(F3:F52)</f>
        <v>181400</v>
      </c>
      <c r="G53" s="4">
        <f t="shared" ref="G53:J53" ca="1" si="2">SUM(G3:G52)</f>
        <v>145650</v>
      </c>
      <c r="H53" s="4">
        <f t="shared" ca="1" si="2"/>
        <v>145650</v>
      </c>
      <c r="I53" s="4">
        <f t="shared" ca="1" si="2"/>
        <v>134800</v>
      </c>
      <c r="J53" s="4">
        <f t="shared" ca="1" si="2"/>
        <v>8150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AR_Invoices</vt:lpstr>
      <vt:lpstr>2 AR_Aging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2025-12-12T00:49:19Z</dcterms:created>
  <dcterms:modified xsi:type="dcterms:W3CDTF">2025-12-29T03:26:21Z</dcterms:modified>
</cp:coreProperties>
</file>