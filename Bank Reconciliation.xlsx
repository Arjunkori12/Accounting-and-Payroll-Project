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2173900fa0e546/Desktop/"/>
    </mc:Choice>
  </mc:AlternateContent>
  <xr:revisionPtr revIDLastSave="2" documentId="8_{60816D32-8AEE-4737-9ACA-AE3F8888AB01}" xr6:coauthVersionLast="47" xr6:coauthVersionMax="47" xr10:uidLastSave="{AE988F1B-0076-4058-96C6-396FC2325FE1}"/>
  <bookViews>
    <workbookView xWindow="-108" yWindow="-108" windowWidth="23256" windowHeight="12456" xr2:uid="{EC1FF37D-6714-45BC-9B10-603DBA517A61}"/>
  </bookViews>
  <sheets>
    <sheet name="3 Bank_Statement" sheetId="1" r:id="rId1"/>
    <sheet name="4 Cash_Book" sheetId="3" r:id="rId2"/>
    <sheet name="5 Bank_Rec" sheetId="4" r:id="rId3"/>
    <sheet name="6 JE_BankRec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4" l="1"/>
  <c r="D20" i="4"/>
  <c r="D30" i="4"/>
  <c r="D36" i="4"/>
  <c r="D42" i="4"/>
  <c r="D46" i="4"/>
  <c r="D47" i="4"/>
  <c r="D48" i="4" s="1"/>
  <c r="B50" i="4" s="1"/>
  <c r="G3" i="1"/>
  <c r="G4" i="1" s="1"/>
  <c r="G5" i="1" l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l="1"/>
  <c r="G2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<sst xmlns="http://schemas.openxmlformats.org/spreadsheetml/2006/main" count="154" uniqueCount="75">
  <si>
    <t>Advertising - Google Ads</t>
  </si>
  <si>
    <t>Check</t>
  </si>
  <si>
    <t>Customer payment - INV-1028</t>
  </si>
  <si>
    <t>Deposit</t>
  </si>
  <si>
    <t>Customer payment - INV-1011</t>
  </si>
  <si>
    <t>Monthly service fee</t>
  </si>
  <si>
    <t>Bank Charge</t>
  </si>
  <si>
    <t>Equipment maintenance</t>
  </si>
  <si>
    <t>Office supplies</t>
  </si>
  <si>
    <t>Cash sales</t>
  </si>
  <si>
    <t>Customer payment - INV-1019</t>
  </si>
  <si>
    <t>Payroll direct deposit</t>
  </si>
  <si>
    <t>EFT</t>
  </si>
  <si>
    <t>Insurance premium</t>
  </si>
  <si>
    <t>Rent - Property Management</t>
  </si>
  <si>
    <t>Customer payment - INV-1003</t>
  </si>
  <si>
    <t>Customer payment - INV-1008</t>
  </si>
  <si>
    <t>Utilities - Hydro One</t>
  </si>
  <si>
    <t>Supplier - ABC Parts</t>
  </si>
  <si>
    <t>Customer payment - INV-1001</t>
  </si>
  <si>
    <t>Beginning Balance</t>
  </si>
  <si>
    <t>Balance</t>
  </si>
  <si>
    <t>Credit</t>
  </si>
  <si>
    <t>Debit</t>
  </si>
  <si>
    <t>Check_No</t>
  </si>
  <si>
    <t>Description</t>
  </si>
  <si>
    <t>Type</t>
  </si>
  <si>
    <t>Date</t>
  </si>
  <si>
    <t>Receipt</t>
  </si>
  <si>
    <t>Payment</t>
  </si>
  <si>
    <t>Status:</t>
  </si>
  <si>
    <t>DIFFERENCE</t>
  </si>
  <si>
    <t>Adjusted Book Balance</t>
  </si>
  <si>
    <t>Adjusted Bank Balance</t>
  </si>
  <si>
    <t>RECONCILIATION CHECK</t>
  </si>
  <si>
    <t>ADJUSTED BOOK BALANCE</t>
  </si>
  <si>
    <t>Total Error Adjustment</t>
  </si>
  <si>
    <t>Cash sales (8,020 vs 8,200)</t>
  </si>
  <si>
    <t>Adjustment</t>
  </si>
  <si>
    <t>ERRORS IN BOOKS</t>
  </si>
  <si>
    <t>Total to Subtract</t>
  </si>
  <si>
    <t>NSF check returned</t>
  </si>
  <si>
    <t>Bank service charge</t>
  </si>
  <si>
    <t>Amount</t>
  </si>
  <si>
    <t>SUBTRACT: Items on Bank Not in Books</t>
  </si>
  <si>
    <t>Total to Add</t>
  </si>
  <si>
    <t>Interest earned</t>
  </si>
  <si>
    <t>ADD: Items on Bank Not in Books</t>
  </si>
  <si>
    <t>Book Balance per Cash Book</t>
  </si>
  <si>
    <t>Formula</t>
  </si>
  <si>
    <t>Reference</t>
  </si>
  <si>
    <t>PART 2: BOOK BALANCE</t>
  </si>
  <si>
    <t>ADJUSTED BANK BALANCE</t>
  </si>
  <si>
    <t>Total Outstanding Checks</t>
  </si>
  <si>
    <t>Legal Fees</t>
  </si>
  <si>
    <t>Parts Supplier XYZ</t>
  </si>
  <si>
    <t>Marketing Agency</t>
  </si>
  <si>
    <t>Payee</t>
  </si>
  <si>
    <t>Check No</t>
  </si>
  <si>
    <t>SUBTRACT: Outstanding Checks</t>
  </si>
  <si>
    <t>Total Deposits in Transit</t>
  </si>
  <si>
    <t>ADD: Deposits in Transit</t>
  </si>
  <si>
    <t>Bank Balance per Statement</t>
  </si>
  <si>
    <t>PART 1: BANK BALANCE</t>
  </si>
  <si>
    <t xml:space="preserve">BANK RECONCILIATION As of: December 11, 2024		</t>
  </si>
  <si>
    <t>Sales Revenue</t>
  </si>
  <si>
    <t>Correction of error</t>
  </si>
  <si>
    <t>Cash</t>
  </si>
  <si>
    <t>NSF check</t>
  </si>
  <si>
    <t>Accounts Receivable</t>
  </si>
  <si>
    <t>Bank service fee</t>
  </si>
  <si>
    <t>Bank Charges</t>
  </si>
  <si>
    <t>Memo</t>
  </si>
  <si>
    <t>Account_Name</t>
  </si>
  <si>
    <t>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</si>
</sst>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206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44" fontId="0" fillId="0" borderId="0" xfId="1" applyFont="1"/>
    <xf numFmtId="44" fontId="1" fillId="0" borderId="0" xfId="0" applyNumberFormat="1" applyFont="1"/>
    <xf numFmtId="14" fontId="0" fillId="0" borderId="0" xfId="0" applyNumberFormat="1"/>
    <xf numFmtId="44" fontId="2" fillId="0" borderId="0" xfId="0" applyNumberFormat="1" applyFont="1"/>
    <xf numFmtId="44" fontId="2" fillId="0" borderId="0" xfId="1" applyFont="1"/>
    <xf numFmtId="4" fontId="0" fillId="0" borderId="0" xfId="0" applyNumberFormat="1"/>
    <xf numFmtId="8" fontId="0" fillId="0" borderId="0" xfId="1" applyNumberFormat="1" applyFont="1"/>
    <xf numFmtId="0" fontId="4" fillId="0" borderId="0" xfId="0" applyFont="1"/>
    <xf numFmtId="8" fontId="4" fillId="0" borderId="0" xfId="1" applyNumberFormat="1" applyFont="1"/>
    <xf numFmtId="0" fontId="3" fillId="0" borderId="0" xfId="0" applyFont="1"/>
    <xf numFmtId="8" fontId="5" fillId="0" borderId="0" xfId="1" applyNumberFormat="1" applyFont="1"/>
    <xf numFmtId="0" fontId="5" fillId="0" borderId="0" xfId="0" applyFont="1"/>
    <xf numFmtId="8" fontId="3" fillId="0" borderId="0" xfId="1" applyNumberFormat="1" applyFont="1"/>
    <xf numFmtId="4" fontId="3" fillId="0" borderId="0" xfId="0" applyNumberFormat="1" applyFont="1"/>
    <xf numFmtId="8" fontId="0" fillId="0" borderId="0" xfId="0" applyNumberFormat="1"/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20">
    <dxf>
      <numFmt numFmtId="12" formatCode="&quot;$&quot;#,##0.00;[Red]\-&quot;$&quot;#,##0.00"/>
    </dxf>
    <dxf>
      <numFmt numFmtId="12" formatCode="&quot;$&quot;#,##0.00;[Red]\-&quot;$&quot;#,##0.00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$&quot;#,##0.00;[Red]\-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$&quot;#,##0.00;[Red]\-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$&quot;#,##0.00;[Red]\-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$&quot;#,##0.00;[Red]\-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yyyy/mm/dd"/>
    </dxf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7CA62E-5B95-4AAB-B941-5352F892E6C7}" name="Table4" displayName="Table4" ref="A1:G21" totalsRowCount="1" headerRowDxfId="19" dataDxfId="18" headerRowCellStyle="Currency" dataCellStyle="Currency">
  <autoFilter ref="A1:G20" xr:uid="{B67E2AF4-858D-4818-9890-D4E642015E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FA4CD0E-2638-46D3-B0A6-78E5ADD268B7}" name="Date" dataDxfId="17" totalsRowDxfId="16"/>
    <tableColumn id="2" xr3:uid="{CB0F00C4-E57E-426C-8D7E-724C216DFBCF}" name="Type"/>
    <tableColumn id="3" xr3:uid="{1666B9EB-75DF-43EB-BB69-5C0879669615}" name="Description"/>
    <tableColumn id="4" xr3:uid="{759E307C-D2E8-4900-8008-69FB04040460}" name="Check_No"/>
    <tableColumn id="5" xr3:uid="{65451CDD-97E3-45C1-955E-E8485112D59D}" name="Debit" dataDxfId="15" totalsRowDxfId="14" dataCellStyle="Currency" totalsRowCellStyle="Currency"/>
    <tableColumn id="6" xr3:uid="{0D50E8A6-7BC2-4EE3-ACBB-D417F86A0402}" name="Credit" dataDxfId="13" totalsRowDxfId="12" dataCellStyle="Currency" totalsRowCellStyle="Currency"/>
    <tableColumn id="7" xr3:uid="{33D16F3B-33A7-4F7F-BED8-E392C163ED46}" name="Balance" totalsRowFunction="custom" dataDxfId="11" totalsRowDxfId="10" dataCellStyle="Currency" totalsRowCellStyle="Currency">
      <calculatedColumnFormula>G2-E3+F3</calculatedColumnFormula>
      <totalsRowFormula array="1">OFFSET(Table4[Balance],COUNTA(Table4[Balance])-1,0)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63D526-28CF-4059-B77F-F989DB7F6F1F}" name="Table6" displayName="Table6" ref="A2:G21" totalsRowShown="0">
  <autoFilter ref="A2:G21" xr:uid="{C9F95222-92E4-48BC-8258-52401367F0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F0688AD-D1A5-4983-8BB5-65E3A77B5B23}" name="Date" dataDxfId="9"/>
    <tableColumn id="2" xr3:uid="{14AA037F-6BBA-42F7-AEA9-16E73E97C6A9}" name="Type"/>
    <tableColumn id="3" xr3:uid="{030B7A37-5D5C-4BEB-8B1D-2403C1D3C0E6}" name="Description"/>
    <tableColumn id="4" xr3:uid="{A9107E9D-7BBE-4C79-9194-88882A7F5C46}" name="Check_No"/>
    <tableColumn id="5" xr3:uid="{021C8B3F-2B60-472E-8FE2-39CD3DCE338D}" name="Debit" dataCellStyle="Currency"/>
    <tableColumn id="6" xr3:uid="{6D8196AF-E7E4-4009-AD0D-A01276916604}" name="Credit" dataCellStyle="Currency"/>
    <tableColumn id="7" xr3:uid="{BDFDCF50-8AC8-47CE-9522-199844C92EC1}" name="Balance" dataDxfId="8" dataCellStyl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E41E1F-19D3-4890-8ED5-B3DF73357097}" name="Table8" displayName="Table8" ref="A5:D20" totalsRowShown="0" headerRowDxfId="7">
  <autoFilter ref="A5:D20" xr:uid="{CB6117A6-6EF7-4670-B774-8ECF439337CE}">
    <filterColumn colId="0" hiddenButton="1"/>
    <filterColumn colId="1" hiddenButton="1"/>
    <filterColumn colId="2" hiddenButton="1"/>
    <filterColumn colId="3" hiddenButton="1"/>
  </autoFilter>
  <tableColumns count="4">
    <tableColumn id="1" xr3:uid="{D9518DD3-9A9A-48BB-8F2B-FAE8110808B0}" name="Description"/>
    <tableColumn id="2" xr3:uid="{719A7B3A-4BB4-4518-B295-80E79F16F49A}" name="Reference"/>
    <tableColumn id="3" xr3:uid="{0122C301-CD5F-41CF-89E4-114D093ECA8C}" name="Amount" dataDxfId="6" dataCellStyle="Currency"/>
    <tableColumn id="4" xr3:uid="{65F96D89-0675-4FAC-9259-65E628FD6806}" name="Formula" dataDxfId="5" dataCellStyl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41EE82-741D-48D2-9A3E-DD5C285E1966}" name="Table9" displayName="Table9" ref="A23:D42" totalsRowShown="0">
  <autoFilter ref="A23:D42" xr:uid="{5670D1F4-B059-448B-AF76-21F4DB439B47}">
    <filterColumn colId="0" hiddenButton="1"/>
    <filterColumn colId="1" hiddenButton="1"/>
    <filterColumn colId="2" hiddenButton="1"/>
    <filterColumn colId="3" hiddenButton="1"/>
  </autoFilter>
  <tableColumns count="4">
    <tableColumn id="1" xr3:uid="{94953C5F-812D-4A46-B491-699BB79177E0}" name="Description"/>
    <tableColumn id="2" xr3:uid="{29F8F23D-FA88-45A5-888A-AC782E7701BA}" name="Reference"/>
    <tableColumn id="3" xr3:uid="{0EF6198D-5286-4167-839D-B08794AAB50F}" name="Amount" dataDxfId="4" dataCellStyle="Currency"/>
    <tableColumn id="4" xr3:uid="{7EDA604B-B23C-471D-A56E-37055DA0C18D}" name="Formula" dataDxfId="3" dataCellStyle="Currenc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2CAFD4-D29D-43FB-A0F2-56FE14C1484E}" name="Table10" displayName="Table10" ref="A2:F10" totalsRowShown="0">
  <autoFilter ref="A2:F10" xr:uid="{81FA495C-6039-4880-AD6B-3D0A30A5F2F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DE6CC00-020C-4793-8914-2CB0490FDC77}" name="Date" dataDxfId="2"/>
    <tableColumn id="2" xr3:uid="{30431874-3D4E-4E06-91D9-CA6F1A783C18}" name="Account"/>
    <tableColumn id="3" xr3:uid="{0D7CD42B-0926-4376-BAA2-2F0F94FB14A7}" name="Account_Name"/>
    <tableColumn id="4" xr3:uid="{67FB3B60-A004-41B9-8443-E682C077452A}" name="Debit" dataDxfId="1"/>
    <tableColumn id="5" xr3:uid="{B7E70111-4A56-4670-BA26-A965240C6BCD}" name="Credit" dataDxfId="0"/>
    <tableColumn id="6" xr3:uid="{7F7ED5CE-9489-46F1-96D3-84AAF2F77DA8}" name="Mem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80B4F-6C30-4455-BE77-62326ADD78C0}">
  <dimension ref="A1:G22"/>
  <sheetViews>
    <sheetView tabSelected="1" workbookViewId="0">
      <selection activeCell="D27" sqref="D27"/>
    </sheetView>
  </sheetViews>
  <sheetFormatPr defaultRowHeight="14.4" x14ac:dyDescent="0.3"/>
  <cols>
    <col min="1" max="1" width="10.33203125" bestFit="1" customWidth="1"/>
    <col min="3" max="3" width="25.44140625" bestFit="1" customWidth="1"/>
    <col min="4" max="4" width="11.21875" customWidth="1"/>
    <col min="5" max="5" width="11.44140625" style="1" bestFit="1" customWidth="1"/>
    <col min="6" max="6" width="12.44140625" style="1" bestFit="1" customWidth="1"/>
    <col min="7" max="7" width="11.44140625" style="1" bestFit="1" customWidth="1"/>
  </cols>
  <sheetData>
    <row r="1" spans="1:7" x14ac:dyDescent="0.3">
      <c r="A1" t="s">
        <v>27</v>
      </c>
      <c r="B1" t="s">
        <v>26</v>
      </c>
      <c r="C1" t="s">
        <v>25</v>
      </c>
      <c r="D1" t="s">
        <v>24</v>
      </c>
      <c r="E1" s="1" t="s">
        <v>23</v>
      </c>
      <c r="F1" s="1" t="s">
        <v>22</v>
      </c>
      <c r="G1" s="1" t="s">
        <v>21</v>
      </c>
    </row>
    <row r="2" spans="1:7" x14ac:dyDescent="0.3">
      <c r="A2" s="3">
        <v>45627</v>
      </c>
      <c r="B2" t="s">
        <v>20</v>
      </c>
      <c r="G2" s="5">
        <v>38930.75</v>
      </c>
    </row>
    <row r="3" spans="1:7" x14ac:dyDescent="0.3">
      <c r="A3" s="3">
        <v>45628</v>
      </c>
      <c r="B3" t="s">
        <v>3</v>
      </c>
      <c r="C3" t="s">
        <v>19</v>
      </c>
      <c r="F3" s="1">
        <v>12500</v>
      </c>
      <c r="G3" s="4">
        <f t="shared" ref="G3:G20" si="0">IF(A3="","",G2-E3+F3)</f>
        <v>51430.75</v>
      </c>
    </row>
    <row r="4" spans="1:7" x14ac:dyDescent="0.3">
      <c r="A4" s="3">
        <v>45628</v>
      </c>
      <c r="B4" t="s">
        <v>3</v>
      </c>
      <c r="C4" t="s">
        <v>9</v>
      </c>
      <c r="F4" s="1">
        <v>3250</v>
      </c>
      <c r="G4" s="4">
        <f t="shared" si="0"/>
        <v>54680.75</v>
      </c>
    </row>
    <row r="5" spans="1:7" x14ac:dyDescent="0.3">
      <c r="A5" s="3">
        <v>45629</v>
      </c>
      <c r="B5" t="s">
        <v>1</v>
      </c>
      <c r="C5" t="s">
        <v>18</v>
      </c>
      <c r="D5">
        <v>1245</v>
      </c>
      <c r="E5" s="1">
        <v>3200</v>
      </c>
      <c r="G5" s="4">
        <f t="shared" si="0"/>
        <v>51480.75</v>
      </c>
    </row>
    <row r="6" spans="1:7" x14ac:dyDescent="0.3">
      <c r="A6" s="3">
        <v>45629</v>
      </c>
      <c r="B6" t="s">
        <v>1</v>
      </c>
      <c r="C6" t="s">
        <v>17</v>
      </c>
      <c r="D6">
        <v>1246</v>
      </c>
      <c r="E6" s="1">
        <v>1850</v>
      </c>
      <c r="G6" s="4">
        <f t="shared" si="0"/>
        <v>49630.75</v>
      </c>
    </row>
    <row r="7" spans="1:7" x14ac:dyDescent="0.3">
      <c r="A7" s="3">
        <v>45630</v>
      </c>
      <c r="B7" t="s">
        <v>3</v>
      </c>
      <c r="C7" t="s">
        <v>16</v>
      </c>
      <c r="F7" s="1">
        <v>9800</v>
      </c>
      <c r="G7" s="4">
        <f t="shared" si="0"/>
        <v>59430.75</v>
      </c>
    </row>
    <row r="8" spans="1:7" x14ac:dyDescent="0.3">
      <c r="A8" s="3">
        <v>45631</v>
      </c>
      <c r="B8" t="s">
        <v>3</v>
      </c>
      <c r="C8" t="s">
        <v>15</v>
      </c>
      <c r="F8" s="1">
        <v>4000</v>
      </c>
      <c r="G8" s="4">
        <f t="shared" si="0"/>
        <v>63430.75</v>
      </c>
    </row>
    <row r="9" spans="1:7" x14ac:dyDescent="0.3">
      <c r="A9" s="3">
        <v>45631</v>
      </c>
      <c r="B9" t="s">
        <v>1</v>
      </c>
      <c r="C9" t="s">
        <v>14</v>
      </c>
      <c r="D9">
        <v>1247</v>
      </c>
      <c r="E9" s="1">
        <v>4500</v>
      </c>
      <c r="G9" s="4">
        <f t="shared" si="0"/>
        <v>58930.75</v>
      </c>
    </row>
    <row r="10" spans="1:7" x14ac:dyDescent="0.3">
      <c r="A10" s="3">
        <v>45632</v>
      </c>
      <c r="B10" t="s">
        <v>3</v>
      </c>
      <c r="C10" t="s">
        <v>9</v>
      </c>
      <c r="F10" s="1">
        <v>2100</v>
      </c>
      <c r="G10" s="4">
        <f t="shared" si="0"/>
        <v>61030.75</v>
      </c>
    </row>
    <row r="11" spans="1:7" x14ac:dyDescent="0.3">
      <c r="A11" s="3">
        <v>45632</v>
      </c>
      <c r="B11" t="s">
        <v>1</v>
      </c>
      <c r="C11" t="s">
        <v>13</v>
      </c>
      <c r="D11">
        <v>1248</v>
      </c>
      <c r="E11" s="1">
        <v>2800</v>
      </c>
      <c r="G11" s="4">
        <f t="shared" si="0"/>
        <v>58230.75</v>
      </c>
    </row>
    <row r="12" spans="1:7" x14ac:dyDescent="0.3">
      <c r="A12" s="3">
        <v>45633</v>
      </c>
      <c r="B12" t="s">
        <v>12</v>
      </c>
      <c r="C12" t="s">
        <v>11</v>
      </c>
      <c r="E12" s="1">
        <v>18450</v>
      </c>
      <c r="G12" s="4">
        <f t="shared" si="0"/>
        <v>39780.75</v>
      </c>
    </row>
    <row r="13" spans="1:7" x14ac:dyDescent="0.3">
      <c r="A13" s="3">
        <v>45634</v>
      </c>
      <c r="B13" t="s">
        <v>3</v>
      </c>
      <c r="C13" t="s">
        <v>10</v>
      </c>
      <c r="F13" s="1">
        <v>13800</v>
      </c>
      <c r="G13" s="4">
        <f t="shared" si="0"/>
        <v>53580.75</v>
      </c>
    </row>
    <row r="14" spans="1:7" x14ac:dyDescent="0.3">
      <c r="A14" s="3">
        <v>45634</v>
      </c>
      <c r="B14" t="s">
        <v>3</v>
      </c>
      <c r="C14" t="s">
        <v>9</v>
      </c>
      <c r="F14" s="1">
        <v>8200</v>
      </c>
      <c r="G14" s="4">
        <f t="shared" si="0"/>
        <v>61780.75</v>
      </c>
    </row>
    <row r="15" spans="1:7" x14ac:dyDescent="0.3">
      <c r="A15" s="3">
        <v>45635</v>
      </c>
      <c r="B15" t="s">
        <v>1</v>
      </c>
      <c r="C15" t="s">
        <v>8</v>
      </c>
      <c r="D15">
        <v>1249</v>
      </c>
      <c r="E15" s="1">
        <v>1200</v>
      </c>
      <c r="G15" s="4">
        <f t="shared" si="0"/>
        <v>60580.75</v>
      </c>
    </row>
    <row r="16" spans="1:7" x14ac:dyDescent="0.3">
      <c r="A16" s="3">
        <v>45635</v>
      </c>
      <c r="B16" t="s">
        <v>1</v>
      </c>
      <c r="C16" t="s">
        <v>7</v>
      </c>
      <c r="D16">
        <v>1250</v>
      </c>
      <c r="E16" s="1">
        <v>450</v>
      </c>
      <c r="G16" s="4">
        <f t="shared" si="0"/>
        <v>60130.75</v>
      </c>
    </row>
    <row r="17" spans="1:7" x14ac:dyDescent="0.3">
      <c r="A17" s="3">
        <v>45636</v>
      </c>
      <c r="B17" t="s">
        <v>6</v>
      </c>
      <c r="C17" t="s">
        <v>5</v>
      </c>
      <c r="E17" s="1">
        <v>25</v>
      </c>
      <c r="G17" s="4">
        <f t="shared" si="0"/>
        <v>60105.75</v>
      </c>
    </row>
    <row r="18" spans="1:7" x14ac:dyDescent="0.3">
      <c r="A18" s="3">
        <v>45636</v>
      </c>
      <c r="B18" t="s">
        <v>3</v>
      </c>
      <c r="C18" t="s">
        <v>4</v>
      </c>
      <c r="F18" s="1">
        <v>5000</v>
      </c>
      <c r="G18" s="4">
        <f t="shared" si="0"/>
        <v>65105.75</v>
      </c>
    </row>
    <row r="19" spans="1:7" x14ac:dyDescent="0.3">
      <c r="A19" s="3">
        <v>45637</v>
      </c>
      <c r="B19" t="s">
        <v>3</v>
      </c>
      <c r="C19" t="s">
        <v>2</v>
      </c>
      <c r="F19" s="1">
        <v>7000</v>
      </c>
      <c r="G19" s="4">
        <f t="shared" si="0"/>
        <v>72105.75</v>
      </c>
    </row>
    <row r="20" spans="1:7" x14ac:dyDescent="0.3">
      <c r="A20" s="3">
        <v>45637</v>
      </c>
      <c r="B20" t="s">
        <v>1</v>
      </c>
      <c r="C20" t="s">
        <v>0</v>
      </c>
      <c r="D20">
        <v>1251</v>
      </c>
      <c r="E20" s="1">
        <v>875</v>
      </c>
      <c r="G20" s="4">
        <f t="shared" si="0"/>
        <v>71230.75</v>
      </c>
    </row>
    <row r="21" spans="1:7" x14ac:dyDescent="0.3">
      <c r="A21" s="3"/>
      <c r="G21" s="1" cm="1">
        <f t="array" aca="1" ref="G21" ca="1">OFFSET(Table4[Balance],COUNTA(Table4[Balance])-1,0)</f>
        <v>71230.75</v>
      </c>
    </row>
    <row r="22" spans="1:7" x14ac:dyDescent="0.3">
      <c r="A22" s="3"/>
      <c r="E22" s="2"/>
      <c r="F22" s="2"/>
      <c r="G2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940E-FB3B-400D-A5FA-8D1C66B3B4CF}">
  <dimension ref="A2:M47"/>
  <sheetViews>
    <sheetView workbookViewId="0">
      <selection activeCell="C25" sqref="C25"/>
    </sheetView>
  </sheetViews>
  <sheetFormatPr defaultRowHeight="14.4" x14ac:dyDescent="0.3"/>
  <cols>
    <col min="1" max="2" width="10.33203125" customWidth="1"/>
    <col min="3" max="3" width="25.44140625" bestFit="1" customWidth="1"/>
    <col min="4" max="4" width="11.21875" customWidth="1"/>
    <col min="5" max="7" width="11.44140625" style="1" bestFit="1" customWidth="1"/>
  </cols>
  <sheetData>
    <row r="2" spans="1:13" x14ac:dyDescent="0.3">
      <c r="A2" t="s">
        <v>27</v>
      </c>
      <c r="B2" t="s">
        <v>26</v>
      </c>
      <c r="C2" t="s">
        <v>25</v>
      </c>
      <c r="D2" t="s">
        <v>24</v>
      </c>
      <c r="E2" s="1" t="s">
        <v>23</v>
      </c>
      <c r="F2" s="1" t="s">
        <v>22</v>
      </c>
      <c r="G2" s="1" t="s">
        <v>21</v>
      </c>
    </row>
    <row r="3" spans="1:13" x14ac:dyDescent="0.3">
      <c r="A3" s="3">
        <v>45627</v>
      </c>
      <c r="B3" t="s">
        <v>20</v>
      </c>
      <c r="F3" s="1">
        <v>45230.5</v>
      </c>
      <c r="G3" s="5"/>
    </row>
    <row r="4" spans="1:13" x14ac:dyDescent="0.3">
      <c r="A4" s="3">
        <v>45628</v>
      </c>
      <c r="B4" s="6" t="s">
        <v>28</v>
      </c>
      <c r="C4" t="s">
        <v>19</v>
      </c>
      <c r="E4" s="1">
        <v>12500</v>
      </c>
      <c r="G4" s="5">
        <v>57730.5</v>
      </c>
    </row>
    <row r="5" spans="1:13" x14ac:dyDescent="0.3">
      <c r="A5" s="3">
        <v>45628</v>
      </c>
      <c r="B5" t="s">
        <v>28</v>
      </c>
      <c r="C5" t="s">
        <v>9</v>
      </c>
      <c r="E5" s="1">
        <v>3250</v>
      </c>
      <c r="G5" s="5">
        <v>60980.5</v>
      </c>
    </row>
    <row r="6" spans="1:13" x14ac:dyDescent="0.3">
      <c r="A6" s="3">
        <v>45629</v>
      </c>
      <c r="B6" t="s">
        <v>29</v>
      </c>
      <c r="C6" t="s">
        <v>18</v>
      </c>
      <c r="D6">
        <v>1245</v>
      </c>
      <c r="F6" s="1">
        <v>3200</v>
      </c>
      <c r="G6" s="5">
        <v>57780.5</v>
      </c>
    </row>
    <row r="7" spans="1:13" x14ac:dyDescent="0.3">
      <c r="A7" s="3">
        <v>45629</v>
      </c>
      <c r="B7" t="s">
        <v>29</v>
      </c>
      <c r="C7" t="s">
        <v>17</v>
      </c>
      <c r="D7">
        <v>1246</v>
      </c>
      <c r="F7" s="1">
        <v>1850</v>
      </c>
      <c r="G7" s="5">
        <v>55930.5</v>
      </c>
    </row>
    <row r="8" spans="1:13" x14ac:dyDescent="0.3">
      <c r="A8" s="3">
        <v>45630</v>
      </c>
      <c r="B8" t="s">
        <v>28</v>
      </c>
      <c r="C8" s="6" t="s">
        <v>16</v>
      </c>
      <c r="E8" s="1">
        <v>9800</v>
      </c>
      <c r="G8" s="5">
        <v>65730.5</v>
      </c>
    </row>
    <row r="9" spans="1:13" x14ac:dyDescent="0.3">
      <c r="A9" s="3">
        <v>45631</v>
      </c>
      <c r="B9" t="s">
        <v>28</v>
      </c>
      <c r="C9" t="s">
        <v>15</v>
      </c>
      <c r="E9" s="1">
        <v>4000</v>
      </c>
      <c r="G9" s="5">
        <v>69730.5</v>
      </c>
      <c r="L9" s="6"/>
    </row>
    <row r="10" spans="1:13" x14ac:dyDescent="0.3">
      <c r="A10" s="3">
        <v>45631</v>
      </c>
      <c r="B10" s="6" t="s">
        <v>29</v>
      </c>
      <c r="C10" t="s">
        <v>14</v>
      </c>
      <c r="D10">
        <v>1247</v>
      </c>
      <c r="F10" s="1">
        <v>4500</v>
      </c>
      <c r="G10" s="5">
        <v>65230.5</v>
      </c>
      <c r="K10" s="6"/>
      <c r="L10" s="6"/>
      <c r="M10" s="6"/>
    </row>
    <row r="11" spans="1:13" x14ac:dyDescent="0.3">
      <c r="A11" s="3">
        <v>45632</v>
      </c>
      <c r="B11" t="s">
        <v>28</v>
      </c>
      <c r="C11" t="s">
        <v>9</v>
      </c>
      <c r="E11" s="1">
        <v>2100</v>
      </c>
      <c r="G11" s="5">
        <v>67330.5</v>
      </c>
      <c r="K11" s="6"/>
      <c r="L11" s="6"/>
      <c r="M11" s="6"/>
    </row>
    <row r="12" spans="1:13" x14ac:dyDescent="0.3">
      <c r="A12" s="3">
        <v>45632</v>
      </c>
      <c r="B12" t="s">
        <v>29</v>
      </c>
      <c r="C12" t="s">
        <v>13</v>
      </c>
      <c r="D12">
        <v>1248</v>
      </c>
      <c r="F12" s="1">
        <v>2800</v>
      </c>
      <c r="G12" s="5">
        <v>64530.5</v>
      </c>
      <c r="L12" s="6"/>
      <c r="M12" s="6"/>
    </row>
    <row r="13" spans="1:13" x14ac:dyDescent="0.3">
      <c r="A13" s="3">
        <v>45633</v>
      </c>
      <c r="B13" t="s">
        <v>29</v>
      </c>
      <c r="C13" t="s">
        <v>11</v>
      </c>
      <c r="F13" s="1">
        <v>18450</v>
      </c>
      <c r="G13" s="5">
        <v>46080.5</v>
      </c>
      <c r="K13" s="6"/>
      <c r="L13" s="6"/>
      <c r="M13" s="6"/>
    </row>
    <row r="14" spans="1:13" x14ac:dyDescent="0.3">
      <c r="A14" s="3">
        <v>45634</v>
      </c>
      <c r="B14" t="s">
        <v>28</v>
      </c>
      <c r="C14" s="6" t="s">
        <v>10</v>
      </c>
      <c r="E14" s="1">
        <v>13800</v>
      </c>
      <c r="G14" s="5">
        <v>59880.5</v>
      </c>
      <c r="K14" s="6"/>
      <c r="M14" s="6"/>
    </row>
    <row r="15" spans="1:13" x14ac:dyDescent="0.3">
      <c r="A15" s="3">
        <v>45634</v>
      </c>
      <c r="B15" t="s">
        <v>28</v>
      </c>
      <c r="C15" s="6" t="s">
        <v>9</v>
      </c>
      <c r="E15" s="1">
        <v>8020</v>
      </c>
      <c r="G15" s="5">
        <v>67900.5</v>
      </c>
      <c r="K15" s="6"/>
      <c r="L15" s="6"/>
      <c r="M15" s="6"/>
    </row>
    <row r="16" spans="1:13" x14ac:dyDescent="0.3">
      <c r="A16" s="3">
        <v>45635</v>
      </c>
      <c r="B16" t="s">
        <v>29</v>
      </c>
      <c r="C16" t="s">
        <v>8</v>
      </c>
      <c r="D16">
        <v>1249</v>
      </c>
      <c r="F16" s="1">
        <v>1200</v>
      </c>
      <c r="G16" s="5">
        <v>66700.5</v>
      </c>
      <c r="L16" s="6"/>
      <c r="M16" s="6"/>
    </row>
    <row r="17" spans="1:13" x14ac:dyDescent="0.3">
      <c r="A17" s="3">
        <v>45635</v>
      </c>
      <c r="B17" t="s">
        <v>29</v>
      </c>
      <c r="C17" t="s">
        <v>7</v>
      </c>
      <c r="D17">
        <v>1250</v>
      </c>
      <c r="F17" s="1">
        <v>450</v>
      </c>
      <c r="G17" s="5">
        <v>66250.5</v>
      </c>
      <c r="K17" s="6"/>
      <c r="M17" s="6"/>
    </row>
    <row r="18" spans="1:13" x14ac:dyDescent="0.3">
      <c r="A18" s="3">
        <v>45636</v>
      </c>
      <c r="B18" s="6" t="s">
        <v>28</v>
      </c>
      <c r="C18" t="s">
        <v>4</v>
      </c>
      <c r="E18" s="1">
        <v>5000</v>
      </c>
      <c r="G18" s="5">
        <v>71250.5</v>
      </c>
      <c r="L18" s="6"/>
      <c r="M18" s="6"/>
    </row>
    <row r="19" spans="1:13" x14ac:dyDescent="0.3">
      <c r="A19" s="3">
        <v>45637</v>
      </c>
      <c r="B19" t="s">
        <v>28</v>
      </c>
      <c r="C19" t="s">
        <v>2</v>
      </c>
      <c r="E19" s="1">
        <v>7000</v>
      </c>
      <c r="G19" s="5">
        <v>78250.5</v>
      </c>
      <c r="K19" s="6"/>
      <c r="L19" s="6"/>
      <c r="M19" s="6"/>
    </row>
    <row r="20" spans="1:13" x14ac:dyDescent="0.3">
      <c r="A20" s="3">
        <v>45637</v>
      </c>
      <c r="B20" s="6" t="s">
        <v>29</v>
      </c>
      <c r="C20" t="s">
        <v>0</v>
      </c>
      <c r="D20">
        <v>1251</v>
      </c>
      <c r="F20" s="1">
        <v>875</v>
      </c>
      <c r="G20" s="5">
        <v>77375.5</v>
      </c>
      <c r="K20" s="6"/>
      <c r="M20" s="6"/>
    </row>
    <row r="21" spans="1:13" x14ac:dyDescent="0.3">
      <c r="A21" s="3">
        <v>45637</v>
      </c>
      <c r="B21" t="s">
        <v>28</v>
      </c>
      <c r="C21" t="s">
        <v>9</v>
      </c>
      <c r="E21" s="1">
        <v>5500</v>
      </c>
      <c r="G21" s="5">
        <v>82875.5</v>
      </c>
      <c r="K21" s="6"/>
      <c r="L21" s="6"/>
      <c r="M21" s="6"/>
    </row>
    <row r="22" spans="1:13" x14ac:dyDescent="0.3">
      <c r="L22" s="6"/>
      <c r="M22" s="6"/>
    </row>
    <row r="23" spans="1:13" x14ac:dyDescent="0.3">
      <c r="K23" s="6"/>
      <c r="M23" s="6"/>
    </row>
    <row r="24" spans="1:13" x14ac:dyDescent="0.3">
      <c r="B24" s="6"/>
      <c r="K24" s="6"/>
      <c r="M24" s="6"/>
    </row>
    <row r="25" spans="1:13" x14ac:dyDescent="0.3">
      <c r="K25" s="6"/>
      <c r="M25" s="6"/>
    </row>
    <row r="26" spans="1:13" x14ac:dyDescent="0.3">
      <c r="L26" s="6"/>
      <c r="M26" s="6"/>
    </row>
    <row r="27" spans="1:13" x14ac:dyDescent="0.3">
      <c r="K27" s="6"/>
      <c r="L27" s="6"/>
      <c r="M27" s="6"/>
    </row>
    <row r="28" spans="1:13" x14ac:dyDescent="0.3">
      <c r="M28" s="6"/>
    </row>
    <row r="41" spans="1:4" x14ac:dyDescent="0.3">
      <c r="A41" s="3"/>
      <c r="C41" s="6"/>
      <c r="D41" s="6"/>
    </row>
    <row r="45" spans="1:4" x14ac:dyDescent="0.3">
      <c r="B45" s="6"/>
    </row>
    <row r="47" spans="1:4" x14ac:dyDescent="0.3">
      <c r="B47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15B00-29D4-40EE-ACB5-5F20DEFAF3A4}">
  <dimension ref="A1:E50"/>
  <sheetViews>
    <sheetView topLeftCell="A2" workbookViewId="0">
      <selection sqref="A1:D2"/>
    </sheetView>
  </sheetViews>
  <sheetFormatPr defaultRowHeight="14.4" x14ac:dyDescent="0.3"/>
  <cols>
    <col min="1" max="1" width="16.77734375" bestFit="1" customWidth="1"/>
    <col min="2" max="2" width="34" bestFit="1" customWidth="1"/>
    <col min="3" max="3" width="12.44140625" style="7" bestFit="1" customWidth="1"/>
    <col min="4" max="4" width="13.5546875" style="7" bestFit="1" customWidth="1"/>
    <col min="5" max="5" width="10.33203125" customWidth="1"/>
  </cols>
  <sheetData>
    <row r="1" spans="1:5" s="10" customFormat="1" x14ac:dyDescent="0.3">
      <c r="A1" s="16" t="s">
        <v>64</v>
      </c>
      <c r="B1" s="16"/>
      <c r="C1" s="16"/>
      <c r="D1" s="16"/>
    </row>
    <row r="2" spans="1:5" x14ac:dyDescent="0.3">
      <c r="A2" s="16"/>
      <c r="B2" s="16"/>
      <c r="C2" s="16"/>
      <c r="D2" s="16"/>
    </row>
    <row r="4" spans="1:5" s="10" customFormat="1" x14ac:dyDescent="0.3">
      <c r="A4" s="17" t="s">
        <v>63</v>
      </c>
      <c r="B4" s="17"/>
      <c r="C4" s="17"/>
      <c r="D4" s="17"/>
    </row>
    <row r="5" spans="1:5" s="10" customFormat="1" x14ac:dyDescent="0.3">
      <c r="A5" s="10" t="s">
        <v>25</v>
      </c>
      <c r="B5" s="10" t="s">
        <v>50</v>
      </c>
      <c r="C5" s="13" t="s">
        <v>43</v>
      </c>
      <c r="D5" s="13" t="s">
        <v>49</v>
      </c>
    </row>
    <row r="6" spans="1:5" x14ac:dyDescent="0.3">
      <c r="A6" t="s">
        <v>62</v>
      </c>
      <c r="D6" s="7">
        <v>71230</v>
      </c>
    </row>
    <row r="8" spans="1:5" s="10" customFormat="1" x14ac:dyDescent="0.3">
      <c r="A8" s="10" t="s">
        <v>61</v>
      </c>
      <c r="B8" s="14"/>
      <c r="C8" s="13"/>
      <c r="D8" s="13"/>
    </row>
    <row r="9" spans="1:5" s="10" customFormat="1" x14ac:dyDescent="0.3">
      <c r="A9" s="10" t="s">
        <v>27</v>
      </c>
      <c r="B9" s="10" t="s">
        <v>25</v>
      </c>
      <c r="C9" s="13" t="s">
        <v>43</v>
      </c>
      <c r="D9" s="13"/>
    </row>
    <row r="10" spans="1:5" x14ac:dyDescent="0.3">
      <c r="A10" s="3">
        <v>45637</v>
      </c>
      <c r="B10" t="s">
        <v>9</v>
      </c>
      <c r="C10" s="7">
        <v>5500</v>
      </c>
    </row>
    <row r="11" spans="1:5" x14ac:dyDescent="0.3">
      <c r="E11" s="15"/>
    </row>
    <row r="12" spans="1:5" s="10" customFormat="1" x14ac:dyDescent="0.3">
      <c r="A12" s="10" t="s">
        <v>60</v>
      </c>
      <c r="C12" s="13"/>
      <c r="D12" s="13">
        <v>5500</v>
      </c>
    </row>
    <row r="14" spans="1:5" x14ac:dyDescent="0.3">
      <c r="A14" t="s">
        <v>59</v>
      </c>
      <c r="B14" s="15"/>
    </row>
    <row r="15" spans="1:5" x14ac:dyDescent="0.3">
      <c r="A15" t="s">
        <v>58</v>
      </c>
      <c r="B15" s="6" t="s">
        <v>57</v>
      </c>
      <c r="C15" s="7" t="s">
        <v>43</v>
      </c>
    </row>
    <row r="16" spans="1:5" x14ac:dyDescent="0.3">
      <c r="A16">
        <v>1252</v>
      </c>
      <c r="B16" t="s">
        <v>56</v>
      </c>
      <c r="C16" s="7">
        <v>1250</v>
      </c>
    </row>
    <row r="17" spans="1:4" x14ac:dyDescent="0.3">
      <c r="A17">
        <v>1253</v>
      </c>
      <c r="B17" t="s">
        <v>55</v>
      </c>
      <c r="C17" s="7">
        <v>2350</v>
      </c>
    </row>
    <row r="18" spans="1:4" x14ac:dyDescent="0.3">
      <c r="A18" s="6">
        <v>1254</v>
      </c>
      <c r="B18" t="s">
        <v>54</v>
      </c>
      <c r="C18" s="7">
        <v>895</v>
      </c>
    </row>
    <row r="19" spans="1:4" s="10" customFormat="1" x14ac:dyDescent="0.3">
      <c r="A19" s="14" t="s">
        <v>53</v>
      </c>
      <c r="C19" s="13"/>
      <c r="D19" s="13">
        <f>-SUM(C16:C18)</f>
        <v>-4495</v>
      </c>
    </row>
    <row r="20" spans="1:4" s="10" customFormat="1" x14ac:dyDescent="0.3">
      <c r="A20" s="10" t="s">
        <v>52</v>
      </c>
      <c r="C20" s="13"/>
      <c r="D20" s="13">
        <f>SUM(D6:D19)</f>
        <v>72235</v>
      </c>
    </row>
    <row r="21" spans="1:4" x14ac:dyDescent="0.3">
      <c r="A21" s="6"/>
    </row>
    <row r="22" spans="1:4" s="10" customFormat="1" x14ac:dyDescent="0.3">
      <c r="A22" s="16" t="s">
        <v>51</v>
      </c>
      <c r="B22" s="16"/>
      <c r="C22" s="16"/>
      <c r="D22" s="16"/>
    </row>
    <row r="23" spans="1:4" s="10" customFormat="1" x14ac:dyDescent="0.3">
      <c r="A23" s="10" t="s">
        <v>25</v>
      </c>
      <c r="B23" s="10" t="s">
        <v>50</v>
      </c>
      <c r="C23" s="13" t="s">
        <v>43</v>
      </c>
      <c r="D23" s="13" t="s">
        <v>49</v>
      </c>
    </row>
    <row r="24" spans="1:4" x14ac:dyDescent="0.3">
      <c r="A24" t="s">
        <v>48</v>
      </c>
      <c r="D24" s="7">
        <v>82875</v>
      </c>
    </row>
    <row r="26" spans="1:4" x14ac:dyDescent="0.3">
      <c r="A26" t="s">
        <v>47</v>
      </c>
    </row>
    <row r="27" spans="1:4" x14ac:dyDescent="0.3">
      <c r="A27" t="s">
        <v>25</v>
      </c>
      <c r="C27" s="7" t="s">
        <v>43</v>
      </c>
    </row>
    <row r="28" spans="1:4" x14ac:dyDescent="0.3">
      <c r="A28" t="s">
        <v>46</v>
      </c>
      <c r="C28" s="7">
        <v>0</v>
      </c>
    </row>
    <row r="30" spans="1:4" s="10" customFormat="1" x14ac:dyDescent="0.3">
      <c r="A30" s="10" t="s">
        <v>45</v>
      </c>
      <c r="C30" s="13"/>
      <c r="D30" s="13">
        <f>SUM(C28:C29)</f>
        <v>0</v>
      </c>
    </row>
    <row r="32" spans="1:4" s="10" customFormat="1" x14ac:dyDescent="0.3">
      <c r="A32" s="10" t="s">
        <v>44</v>
      </c>
      <c r="C32" s="13"/>
      <c r="D32" s="13"/>
    </row>
    <row r="33" spans="1:5" s="10" customFormat="1" x14ac:dyDescent="0.3">
      <c r="A33" s="10" t="s">
        <v>25</v>
      </c>
      <c r="C33" s="13" t="s">
        <v>43</v>
      </c>
      <c r="D33" s="13"/>
    </row>
    <row r="34" spans="1:5" x14ac:dyDescent="0.3">
      <c r="A34" t="s">
        <v>42</v>
      </c>
      <c r="C34" s="7">
        <v>25</v>
      </c>
    </row>
    <row r="35" spans="1:5" x14ac:dyDescent="0.3">
      <c r="A35" t="s">
        <v>41</v>
      </c>
      <c r="C35" s="7">
        <v>350</v>
      </c>
    </row>
    <row r="36" spans="1:5" x14ac:dyDescent="0.3">
      <c r="A36" t="s">
        <v>40</v>
      </c>
      <c r="D36" s="7">
        <f>-SUM(C34:C35)</f>
        <v>-375</v>
      </c>
    </row>
    <row r="37" spans="1:5" x14ac:dyDescent="0.3">
      <c r="B37" s="6"/>
    </row>
    <row r="38" spans="1:5" x14ac:dyDescent="0.3">
      <c r="A38" t="s">
        <v>39</v>
      </c>
    </row>
    <row r="39" spans="1:5" x14ac:dyDescent="0.3">
      <c r="A39" t="s">
        <v>27</v>
      </c>
      <c r="B39" t="s">
        <v>25</v>
      </c>
      <c r="C39" s="7" t="s">
        <v>38</v>
      </c>
    </row>
    <row r="40" spans="1:5" x14ac:dyDescent="0.3">
      <c r="A40" s="3">
        <v>45634</v>
      </c>
      <c r="B40" t="s">
        <v>37</v>
      </c>
      <c r="C40" s="7">
        <v>-180</v>
      </c>
    </row>
    <row r="41" spans="1:5" x14ac:dyDescent="0.3">
      <c r="A41" t="s">
        <v>36</v>
      </c>
      <c r="D41" s="7">
        <v>-180</v>
      </c>
    </row>
    <row r="42" spans="1:5" s="10" customFormat="1" x14ac:dyDescent="0.3">
      <c r="A42" s="10" t="s">
        <v>35</v>
      </c>
      <c r="C42" s="13"/>
      <c r="D42" s="13">
        <f>SUM(D24:D41)</f>
        <v>82320</v>
      </c>
      <c r="E42" s="14"/>
    </row>
    <row r="45" spans="1:5" s="10" customFormat="1" x14ac:dyDescent="0.3">
      <c r="A45" s="16" t="s">
        <v>34</v>
      </c>
      <c r="B45" s="16"/>
      <c r="C45" s="16"/>
      <c r="D45" s="16"/>
    </row>
    <row r="46" spans="1:5" x14ac:dyDescent="0.3">
      <c r="A46" s="10" t="s">
        <v>33</v>
      </c>
      <c r="B46" s="10"/>
      <c r="C46" s="13"/>
      <c r="D46" s="13">
        <f>D20</f>
        <v>72235</v>
      </c>
    </row>
    <row r="47" spans="1:5" x14ac:dyDescent="0.3">
      <c r="A47" s="10" t="s">
        <v>32</v>
      </c>
      <c r="B47" s="10"/>
      <c r="C47" s="13"/>
      <c r="D47" s="13">
        <f>D42</f>
        <v>82320</v>
      </c>
    </row>
    <row r="48" spans="1:5" s="10" customFormat="1" x14ac:dyDescent="0.3">
      <c r="A48" s="12" t="s">
        <v>31</v>
      </c>
      <c r="B48" s="12"/>
      <c r="C48" s="11"/>
      <c r="D48" s="11">
        <f>D47-D46</f>
        <v>10085</v>
      </c>
    </row>
    <row r="49" spans="1:4" x14ac:dyDescent="0.3">
      <c r="B49" s="10"/>
    </row>
    <row r="50" spans="1:4" s="8" customFormat="1" x14ac:dyDescent="0.3">
      <c r="A50" s="8" t="s">
        <v>30</v>
      </c>
      <c r="B50" s="8" t="str">
        <f>IF(D48=0,"RECONCILED","NOT RECONCILED - Investigation needed")</f>
        <v>NOT RECONCILED - Investigation needed</v>
      </c>
      <c r="C50" s="9"/>
      <c r="D50" s="9"/>
    </row>
  </sheetData>
  <mergeCells count="4">
    <mergeCell ref="A1:D2"/>
    <mergeCell ref="A4:D4"/>
    <mergeCell ref="A22:D22"/>
    <mergeCell ref="A45:D45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613DD-A63C-40C1-A29C-1E657E9D70A3}">
  <dimension ref="A2:G10"/>
  <sheetViews>
    <sheetView workbookViewId="0"/>
  </sheetViews>
  <sheetFormatPr defaultRowHeight="14.4" x14ac:dyDescent="0.3"/>
  <cols>
    <col min="1" max="1" width="10.33203125" bestFit="1" customWidth="1"/>
    <col min="2" max="2" width="9.6640625" customWidth="1"/>
    <col min="3" max="3" width="15.44140625" customWidth="1"/>
    <col min="6" max="6" width="15.88671875" bestFit="1" customWidth="1"/>
  </cols>
  <sheetData>
    <row r="2" spans="1:7" x14ac:dyDescent="0.3">
      <c r="A2" t="s">
        <v>27</v>
      </c>
      <c r="B2" t="s">
        <v>74</v>
      </c>
      <c r="C2" t="s">
        <v>73</v>
      </c>
      <c r="D2" t="s">
        <v>23</v>
      </c>
      <c r="E2" t="s">
        <v>22</v>
      </c>
      <c r="F2" t="s">
        <v>72</v>
      </c>
      <c r="G2" s="15"/>
    </row>
    <row r="3" spans="1:7" x14ac:dyDescent="0.3">
      <c r="A3" s="3">
        <v>45637</v>
      </c>
      <c r="B3">
        <v>5800</v>
      </c>
      <c r="C3" t="s">
        <v>71</v>
      </c>
      <c r="D3" s="15">
        <v>25</v>
      </c>
      <c r="E3" s="15"/>
      <c r="F3" t="s">
        <v>70</v>
      </c>
    </row>
    <row r="4" spans="1:7" x14ac:dyDescent="0.3">
      <c r="A4" s="3">
        <v>45637</v>
      </c>
      <c r="B4">
        <v>1000</v>
      </c>
      <c r="C4" t="s">
        <v>67</v>
      </c>
      <c r="D4" s="15"/>
      <c r="E4" s="15">
        <v>25</v>
      </c>
    </row>
    <row r="5" spans="1:7" x14ac:dyDescent="0.3">
      <c r="D5" s="15"/>
      <c r="E5" s="15"/>
    </row>
    <row r="6" spans="1:7" x14ac:dyDescent="0.3">
      <c r="A6" s="3">
        <v>45637</v>
      </c>
      <c r="B6">
        <v>1100</v>
      </c>
      <c r="C6" t="s">
        <v>69</v>
      </c>
      <c r="D6" s="15">
        <v>350</v>
      </c>
      <c r="E6" s="15"/>
      <c r="F6" t="s">
        <v>68</v>
      </c>
    </row>
    <row r="7" spans="1:7" x14ac:dyDescent="0.3">
      <c r="A7" s="3">
        <v>45637</v>
      </c>
      <c r="B7">
        <v>1000</v>
      </c>
      <c r="C7" t="s">
        <v>67</v>
      </c>
      <c r="D7" s="15"/>
      <c r="E7" s="15">
        <v>350</v>
      </c>
    </row>
    <row r="8" spans="1:7" x14ac:dyDescent="0.3">
      <c r="D8" s="15"/>
      <c r="E8" s="15"/>
    </row>
    <row r="9" spans="1:7" x14ac:dyDescent="0.3">
      <c r="A9" s="3">
        <v>45637</v>
      </c>
      <c r="B9">
        <v>1000</v>
      </c>
      <c r="C9" t="s">
        <v>67</v>
      </c>
      <c r="D9" s="15">
        <v>180</v>
      </c>
      <c r="E9" s="15"/>
      <c r="F9" t="s">
        <v>66</v>
      </c>
    </row>
    <row r="10" spans="1:7" x14ac:dyDescent="0.3">
      <c r="A10" s="3">
        <v>45637</v>
      </c>
      <c r="B10">
        <v>4100</v>
      </c>
      <c r="C10" t="s">
        <v>65</v>
      </c>
      <c r="D10" s="15"/>
      <c r="E10" s="15">
        <v>180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 Bank_Statement</vt:lpstr>
      <vt:lpstr>4 Cash_Book</vt:lpstr>
      <vt:lpstr>5 Bank_Rec</vt:lpstr>
      <vt:lpstr>6 JE_BankRec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Kori</dc:creator>
  <cp:lastModifiedBy>Arjun Kori</cp:lastModifiedBy>
  <dcterms:created xsi:type="dcterms:W3CDTF">2025-12-26T20:48:16Z</dcterms:created>
  <dcterms:modified xsi:type="dcterms:W3CDTF">2025-12-29T02:57:45Z</dcterms:modified>
</cp:coreProperties>
</file>