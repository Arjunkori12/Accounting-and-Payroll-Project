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2173900fa0e546/Desktop/"/>
    </mc:Choice>
  </mc:AlternateContent>
  <xr:revisionPtr revIDLastSave="0" documentId="8_{E49520A4-9A34-4A75-B728-088B61C951B2}" xr6:coauthVersionLast="47" xr6:coauthVersionMax="47" xr10:uidLastSave="{00000000-0000-0000-0000-000000000000}"/>
  <bookViews>
    <workbookView xWindow="-108" yWindow="-108" windowWidth="23256" windowHeight="12456" xr2:uid="{ED150134-BA78-4AA0-942E-6239B96DC3F6}"/>
  </bookViews>
  <sheets>
    <sheet name="7 CC_Statement" sheetId="3" r:id="rId1"/>
    <sheet name="8 JE_CreditCard" sheetId="4" r:id="rId2"/>
    <sheet name="9 JE_Adjustments" sheetId="5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5" i="5"/>
  <c r="H8" i="5"/>
  <c r="H11" i="5"/>
  <c r="H14" i="5"/>
  <c r="H17" i="5"/>
  <c r="E19" i="5"/>
  <c r="F19" i="5"/>
  <c r="F3" i="4" l="1"/>
  <c r="F4" i="4"/>
  <c r="F5" i="4"/>
  <c r="F6" i="4"/>
  <c r="F7" i="4"/>
  <c r="F8" i="4"/>
  <c r="F9" i="4"/>
  <c r="F10" i="4"/>
  <c r="F11" i="4"/>
  <c r="F12" i="4"/>
  <c r="A45" i="3" a="1"/>
  <c r="A45" i="3" s="1"/>
  <c r="A46" i="3" a="1"/>
  <c r="A46" i="3" s="1"/>
  <c r="G4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<sst xmlns="http://schemas.openxmlformats.org/spreadsheetml/2006/main" count="170" uniqueCount="101">
  <si>
    <t>Date</t>
  </si>
  <si>
    <t>Amount</t>
  </si>
  <si>
    <t>Memo</t>
  </si>
  <si>
    <t>Credit</t>
  </si>
  <si>
    <t>Debit</t>
  </si>
  <si>
    <t>Account_Name</t>
  </si>
  <si>
    <t>Account</t>
  </si>
  <si>
    <t xml:space="preserve">Status </t>
  </si>
  <si>
    <t xml:space="preserve">Days_Outstanding	</t>
  </si>
  <si>
    <t>Grand Total</t>
  </si>
  <si>
    <t>E021</t>
  </si>
  <si>
    <t>E004</t>
  </si>
  <si>
    <t>Travel</t>
  </si>
  <si>
    <t>E008</t>
  </si>
  <si>
    <t>Software</t>
  </si>
  <si>
    <t>E012</t>
  </si>
  <si>
    <t>Office Supplies</t>
  </si>
  <si>
    <t>E013</t>
  </si>
  <si>
    <t>Meals</t>
  </si>
  <si>
    <t>E025</t>
  </si>
  <si>
    <t>Maintenance</t>
  </si>
  <si>
    <t>E006</t>
  </si>
  <si>
    <t>E001</t>
  </si>
  <si>
    <t>Fuel</t>
  </si>
  <si>
    <t>Equipment</t>
  </si>
  <si>
    <t>E005</t>
  </si>
  <si>
    <t>Computer Equipment</t>
  </si>
  <si>
    <t>Advertising</t>
  </si>
  <si>
    <t>Total Amount</t>
  </si>
  <si>
    <t>Expense Categorization</t>
  </si>
  <si>
    <t>Monthly subscription</t>
  </si>
  <si>
    <t>Yes</t>
  </si>
  <si>
    <t>Google Workspace</t>
  </si>
  <si>
    <t>Recruiter account</t>
  </si>
  <si>
    <t>LinkedIn Premium</t>
  </si>
  <si>
    <t>Tools</t>
  </si>
  <si>
    <t>Canadian Tire</t>
  </si>
  <si>
    <t>Shop supplies</t>
  </si>
  <si>
    <t>Home Depot</t>
  </si>
  <si>
    <t>3-day rental</t>
  </si>
  <si>
    <t>Enterprise Rent-a-Car</t>
  </si>
  <si>
    <t>Flight to Vancouver</t>
  </si>
  <si>
    <t>Air Canada</t>
  </si>
  <si>
    <t>Airport transport</t>
  </si>
  <si>
    <t>Uber</t>
  </si>
  <si>
    <t>Trade show Toronto</t>
  </si>
  <si>
    <t>Hotel Marriott</t>
  </si>
  <si>
    <t>Team lunch</t>
  </si>
  <si>
    <t>Subway</t>
  </si>
  <si>
    <t>Bulk supplies</t>
  </si>
  <si>
    <t>Costco Business</t>
  </si>
  <si>
    <t>Laptop for new hire</t>
  </si>
  <si>
    <t>Best Buy</t>
  </si>
  <si>
    <t>Wireless mouse x10</t>
  </si>
  <si>
    <t>Amazon Business</t>
  </si>
  <si>
    <t>Missing receipt</t>
  </si>
  <si>
    <t>No</t>
  </si>
  <si>
    <t>Shell Gas - Highway 401</t>
  </si>
  <si>
    <t>Staples</t>
  </si>
  <si>
    <t>Office Depot</t>
  </si>
  <si>
    <t>Client meeting</t>
  </si>
  <si>
    <t>Tim Hortons</t>
  </si>
  <si>
    <t>Shell Gas - Main St</t>
  </si>
  <si>
    <t>Notes</t>
  </si>
  <si>
    <t>Receipt</t>
  </si>
  <si>
    <t>Employee</t>
  </si>
  <si>
    <t>Category</t>
  </si>
  <si>
    <t>Merchant</t>
  </si>
  <si>
    <t>Post_Date</t>
  </si>
  <si>
    <t>Trans_Date</t>
  </si>
  <si>
    <t>Credit Card Payable</t>
  </si>
  <si>
    <t>Travel Expense</t>
  </si>
  <si>
    <t>Meals &amp; Entertainment</t>
  </si>
  <si>
    <t>Fuel Expense</t>
  </si>
  <si>
    <t>Category_Total</t>
  </si>
  <si>
    <t>Interest Payable</t>
  </si>
  <si>
    <t>AJE-006</t>
  </si>
  <si>
    <t>Interest accrual</t>
  </si>
  <si>
    <t>Interest Expense</t>
  </si>
  <si>
    <t>Allowance for Doubtful Accounts</t>
  </si>
  <si>
    <t>AJE-005</t>
  </si>
  <si>
    <t>Bad debt provision</t>
  </si>
  <si>
    <t>Bad Debt Expense</t>
  </si>
  <si>
    <t>Inventory</t>
  </si>
  <si>
    <t>AJE-004</t>
  </si>
  <si>
    <t>Inventory shrinkage</t>
  </si>
  <si>
    <t>Cost of Goods Sold</t>
  </si>
  <si>
    <t>Wages Payable</t>
  </si>
  <si>
    <t>AJE-003</t>
  </si>
  <si>
    <t>Accrued wages Dec 29-31</t>
  </si>
  <si>
    <t>Wages Expense</t>
  </si>
  <si>
    <t>Accumulated Depreciation</t>
  </si>
  <si>
    <t>AJE-002</t>
  </si>
  <si>
    <t>Monthly depreciation</t>
  </si>
  <si>
    <t>Depreciation Expense</t>
  </si>
  <si>
    <t>Prepaid Insurance</t>
  </si>
  <si>
    <t>AJE-001</t>
  </si>
  <si>
    <t>Prepaid insurance adjustment</t>
  </si>
  <si>
    <t>Insurance Expense</t>
  </si>
  <si>
    <t>Calculation</t>
  </si>
  <si>
    <t>Entry_No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</si>
</sst>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4" fontId="0" fillId="0" borderId="0" xfId="0" applyNumberFormat="1"/>
    <xf numFmtId="4" fontId="0" fillId="0" borderId="0" xfId="0" applyNumberFormat="1"/>
    <xf numFmtId="8" fontId="0" fillId="0" borderId="0" xfId="0" applyNumberFormat="1"/>
    <xf numFmtId="15" fontId="0" fillId="0" borderId="0" xfId="0" applyNumberFormat="1"/>
    <xf numFmtId="0" fontId="0" fillId="0" borderId="1" xfId="0" applyBorder="1"/>
    <xf numFmtId="8" fontId="3" fillId="0" borderId="0" xfId="0" applyNumberFormat="1" applyFont="1"/>
    <xf numFmtId="15" fontId="3" fillId="0" borderId="0" xfId="0" applyNumberFormat="1" applyFont="1"/>
    <xf numFmtId="15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14" fontId="2" fillId="0" borderId="0" xfId="0" applyNumberFormat="1" applyFont="1"/>
  </cellXfs>
  <cellStyles count="1">
    <cellStyle name="Normal" xfId="0" builtinId="0"/>
  </cellStyles>
  <dxfs count="14">
    <dxf>
      <numFmt numFmtId="12" formatCode="&quot;$&quot;#,##0.00;[Red]\-&quot;$&quot;#,##0.0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9" formatCode="yyyy/mm/dd"/>
    </dxf>
    <dxf>
      <numFmt numFmtId="19" formatCode="yyyy/mm/dd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9" formatCode="yyyy/mm/dd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R%20and%20Journal%20Entry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jun Kori" refreshedDate="46004.741194328701" createdVersion="8" refreshedVersion="8" minRefreshableVersion="3" recordCount="17" xr:uid="{82C9BAA1-24D3-4A16-A8CA-EE912A7F2A10}">
  <cacheSource type="worksheet">
    <worksheetSource name="tbl_CreditCard" r:id="rId2"/>
  </cacheSource>
  <cacheFields count="8">
    <cacheField name="Trans_Date" numFmtId="14">
      <sharedItems containsSemiMixedTypes="0" containsNonDate="0" containsDate="1" containsString="0" minDate="2024-11-12T00:00:00" maxDate="2024-12-01T00:00:00"/>
    </cacheField>
    <cacheField name="Post_Date" numFmtId="14">
      <sharedItems containsSemiMixedTypes="0" containsNonDate="0" containsDate="1" containsString="0" minDate="2024-11-13T00:00:00" maxDate="2024-12-02T00:00:00"/>
    </cacheField>
    <cacheField name="Merchant" numFmtId="0">
      <sharedItems/>
    </cacheField>
    <cacheField name="Category" numFmtId="0">
      <sharedItems count="9">
        <s v="Fuel"/>
        <s v="Meals"/>
        <s v="Office Supplies"/>
        <s v="Equipment"/>
        <s v="Computer Equipment"/>
        <s v="Travel"/>
        <s v="Maintenance"/>
        <s v="Advertising"/>
        <s v="Software"/>
      </sharedItems>
    </cacheField>
    <cacheField name="Employee" numFmtId="0">
      <sharedItems count="9">
        <s v="E001"/>
        <s v="E004"/>
        <s v="E008"/>
        <s v="E012"/>
        <s v="E006"/>
        <s v="E005"/>
        <s v="E013"/>
        <s v="E021"/>
        <s v="E025"/>
      </sharedItems>
    </cacheField>
    <cacheField name="Amount" numFmtId="0">
      <sharedItems containsSemiMixedTypes="0" containsString="0" containsNumber="1" minValue="24.3" maxValue="1245"/>
    </cacheField>
    <cacheField name="Receipt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d v="2024-11-12T00:00:00"/>
    <d v="2024-11-13T00:00:00"/>
    <s v="Shell Gas - Main St"/>
    <x v="0"/>
    <x v="0"/>
    <n v="85.5"/>
    <s v="Yes"/>
    <m/>
  </r>
  <r>
    <d v="2024-11-12T00:00:00"/>
    <d v="2024-11-13T00:00:00"/>
    <s v="Tim Hortons"/>
    <x v="1"/>
    <x v="1"/>
    <n v="24.3"/>
    <s v="Yes"/>
    <s v="Client meeting"/>
  </r>
  <r>
    <d v="2024-11-15T00:00:00"/>
    <d v="2024-11-16T00:00:00"/>
    <s v="Office Depot"/>
    <x v="2"/>
    <x v="2"/>
    <n v="234.5"/>
    <s v="Yes"/>
    <m/>
  </r>
  <r>
    <d v="2024-11-15T00:00:00"/>
    <d v="2024-11-16T00:00:00"/>
    <s v="Staples"/>
    <x v="2"/>
    <x v="3"/>
    <n v="127.8"/>
    <s v="Yes"/>
    <m/>
  </r>
  <r>
    <d v="2024-11-18T00:00:00"/>
    <d v="2024-11-19T00:00:00"/>
    <s v="Shell Gas - Highway 401"/>
    <x v="0"/>
    <x v="4"/>
    <n v="92"/>
    <s v="No"/>
    <s v="Missing receipt"/>
  </r>
  <r>
    <d v="2024-11-18T00:00:00"/>
    <d v="2024-11-19T00:00:00"/>
    <s v="Amazon Business"/>
    <x v="3"/>
    <x v="2"/>
    <n v="456.8"/>
    <s v="Yes"/>
    <s v="Wireless mouse x10"/>
  </r>
  <r>
    <d v="2024-11-20T00:00:00"/>
    <d v="2024-11-21T00:00:00"/>
    <s v="Best Buy"/>
    <x v="4"/>
    <x v="5"/>
    <n v="1245"/>
    <s v="Yes"/>
    <s v="Laptop for new hire"/>
  </r>
  <r>
    <d v="2024-11-22T00:00:00"/>
    <d v="2024-11-23T00:00:00"/>
    <s v="Costco Business"/>
    <x v="2"/>
    <x v="3"/>
    <n v="389.6"/>
    <s v="Yes"/>
    <s v="Bulk supplies"/>
  </r>
  <r>
    <d v="2024-11-22T00:00:00"/>
    <d v="2024-11-23T00:00:00"/>
    <s v="Subway"/>
    <x v="1"/>
    <x v="6"/>
    <n v="45.7"/>
    <s v="Yes"/>
    <s v="Team lunch"/>
  </r>
  <r>
    <d v="2024-11-25T00:00:00"/>
    <d v="2024-11-26T00:00:00"/>
    <s v="Hotel Marriott"/>
    <x v="5"/>
    <x v="1"/>
    <n v="520"/>
    <s v="Yes"/>
    <s v="Trade show Toronto"/>
  </r>
  <r>
    <d v="2024-11-25T00:00:00"/>
    <d v="2024-11-26T00:00:00"/>
    <s v="Uber"/>
    <x v="5"/>
    <x v="1"/>
    <n v="48.5"/>
    <s v="Yes"/>
    <s v="Airport transport"/>
  </r>
  <r>
    <d v="2024-11-26T00:00:00"/>
    <d v="2024-11-27T00:00:00"/>
    <s v="Air Canada"/>
    <x v="5"/>
    <x v="7"/>
    <n v="785"/>
    <s v="Yes"/>
    <s v="Flight to Vancouver"/>
  </r>
  <r>
    <d v="2024-11-26T00:00:00"/>
    <d v="2024-11-27T00:00:00"/>
    <s v="Enterprise Rent-a-Car"/>
    <x v="5"/>
    <x v="7"/>
    <n v="320"/>
    <s v="Yes"/>
    <s v="3-day rental"/>
  </r>
  <r>
    <d v="2024-11-28T00:00:00"/>
    <d v="2024-11-29T00:00:00"/>
    <s v="Home Depot"/>
    <x v="6"/>
    <x v="8"/>
    <n v="178.9"/>
    <s v="Yes"/>
    <s v="Shop supplies"/>
  </r>
  <r>
    <d v="2024-11-28T00:00:00"/>
    <d v="2024-11-29T00:00:00"/>
    <s v="Canadian Tire"/>
    <x v="6"/>
    <x v="8"/>
    <n v="234.5"/>
    <s v="Yes"/>
    <s v="Tools"/>
  </r>
  <r>
    <d v="2024-11-30T00:00:00"/>
    <d v="2024-12-01T00:00:00"/>
    <s v="LinkedIn Premium"/>
    <x v="7"/>
    <x v="3"/>
    <n v="149.99"/>
    <s v="Yes"/>
    <s v="Recruiter account"/>
  </r>
  <r>
    <d v="2024-11-30T00:00:00"/>
    <d v="2024-12-01T00:00:00"/>
    <s v="Google Workspace"/>
    <x v="8"/>
    <x v="2"/>
    <n v="189"/>
    <s v="Yes"/>
    <s v="Monthly subscrip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3DAB6-7A87-42B9-9FDA-58F334DA90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 Categorization">
  <location ref="A21:B43" firstHeaderRow="1" firstDataRow="1" firstDataCol="1"/>
  <pivotFields count="8">
    <pivotField numFmtId="14" showAll="0"/>
    <pivotField numFmtId="14" showAll="0"/>
    <pivotField showAll="0"/>
    <pivotField axis="axisRow" showAll="0">
      <items count="10">
        <item x="7"/>
        <item x="4"/>
        <item sd="0" x="3"/>
        <item x="0"/>
        <item x="6"/>
        <item x="1"/>
        <item x="2"/>
        <item x="8"/>
        <item x="5"/>
        <item t="default"/>
      </items>
    </pivotField>
    <pivotField axis="axisRow" showAll="0">
      <items count="10">
        <item x="0"/>
        <item x="1"/>
        <item x="5"/>
        <item x="4"/>
        <item x="2"/>
        <item x="3"/>
        <item x="6"/>
        <item x="7"/>
        <item x="8"/>
        <item t="default"/>
      </items>
    </pivotField>
    <pivotField dataField="1" showAll="0"/>
    <pivotField showAll="0"/>
    <pivotField showAll="0"/>
  </pivotFields>
  <rowFields count="2">
    <field x="3"/>
    <field x="4"/>
  </rowFields>
  <rowItems count="22">
    <i>
      <x/>
    </i>
    <i r="1">
      <x v="5"/>
    </i>
    <i>
      <x v="1"/>
    </i>
    <i r="1">
      <x v="2"/>
    </i>
    <i>
      <x v="2"/>
    </i>
    <i>
      <x v="3"/>
    </i>
    <i r="1">
      <x/>
    </i>
    <i r="1">
      <x v="3"/>
    </i>
    <i>
      <x v="4"/>
    </i>
    <i r="1">
      <x v="8"/>
    </i>
    <i>
      <x v="5"/>
    </i>
    <i r="1">
      <x v="1"/>
    </i>
    <i r="1">
      <x v="6"/>
    </i>
    <i>
      <x v="6"/>
    </i>
    <i r="1">
      <x v="4"/>
    </i>
    <i r="1">
      <x v="5"/>
    </i>
    <i>
      <x v="7"/>
    </i>
    <i r="1">
      <x v="4"/>
    </i>
    <i>
      <x v="8"/>
    </i>
    <i r="1">
      <x v="1"/>
    </i>
    <i r="1">
      <x v="7"/>
    </i>
    <i t="grand">
      <x/>
    </i>
  </rowItems>
  <colItems count="1">
    <i/>
  </colItems>
  <dataFields count="1">
    <dataField name="Total Amount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46CCAA-F2E9-4889-84D9-B77213715AD3}" name="tbl_CreditCard" displayName="tbl_CreditCard" ref="A2:H19" totalsRowShown="0">
  <autoFilter ref="A2:H19" xr:uid="{8FE3EE63-1700-45B6-8D16-1F8942B909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9FD0026-2B16-4491-BFEB-45CC356784F8}" name="Trans_Date" dataDxfId="13"/>
    <tableColumn id="2" xr3:uid="{FA50B199-9DDE-4D49-90ED-60A048295AD0}" name="Post_Date" dataDxfId="12"/>
    <tableColumn id="3" xr3:uid="{BE587016-9F92-41A6-90CD-BFE7BB1A7C77}" name="Merchant"/>
    <tableColumn id="4" xr3:uid="{17AA934A-9065-4478-A151-85D811F38FE4}" name="Category"/>
    <tableColumn id="5" xr3:uid="{DE857AE6-0A71-410F-96DA-51842CFE114A}" name="Employee"/>
    <tableColumn id="6" xr3:uid="{9DAAF9F1-AC0A-4FB9-854C-C650188C45CE}" name="Amount"/>
    <tableColumn id="7" xr3:uid="{021D73EB-F388-4256-857E-C129436FFF79}" name="Receipt"/>
    <tableColumn id="8" xr3:uid="{9D67A4AB-A5DC-4FD8-BDE9-59A86B58C21B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8F9043-3CC0-41E4-9E95-FE00AF3648AE}" name="Table13" displayName="Table13" ref="A2:F12" totalsRowShown="0">
  <autoFilter ref="A2:F12" xr:uid="{815EA244-C018-4F0E-B8EF-EB300DFD8B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011E02-970A-4268-9244-27C45E7EA570}" name="Date" dataDxfId="11"/>
    <tableColumn id="2" xr3:uid="{496B7610-F2E9-47ED-9365-34BD5B5B0097}" name="Account"/>
    <tableColumn id="3" xr3:uid="{49D1B29F-2EC9-4807-901F-94D315CA5F30}" name="Account_Name"/>
    <tableColumn id="4" xr3:uid="{8E0AA237-2E10-4B09-9D66-9B3EE51EFB97}" name="Debit" dataDxfId="10"/>
    <tableColumn id="5" xr3:uid="{4BDC9746-4E62-47A8-B60A-3AA1E89B971B}" name="Credit" dataDxfId="9"/>
    <tableColumn id="6" xr3:uid="{E1737C60-ADE7-4A50-946C-4E815DE9ABAF}" name="Category_Total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1C9A9C-7CC9-49DE-BAB6-4D4826A003FE}" name="tbl_Adjustments" displayName="tbl_Adjustments" ref="A1:H19" totalsRowCount="1">
  <autoFilter ref="A1:H18" xr:uid="{D157168F-C84A-4BDA-B02E-6C6EE50E9E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12BAF66-5494-4571-B8D8-DCB235CDD5A3}" name="Entry_No"/>
    <tableColumn id="2" xr3:uid="{8EFFE042-08FD-49E7-89D8-7A73EE0EAA77}" name="Date" dataDxfId="7" totalsRowDxfId="6"/>
    <tableColumn id="3" xr3:uid="{3A264AE1-6B0B-489C-9809-E33155009DF9}" name="Account"/>
    <tableColumn id="4" xr3:uid="{B9C516D8-CB1B-482B-A661-1264D516F83F}" name="Account_Name"/>
    <tableColumn id="5" xr3:uid="{E92622F0-BC93-4078-8241-A6B9B00E7E78}" name="Debit" totalsRowFunction="custom" dataDxfId="5" totalsRowDxfId="4">
      <totalsRowFormula>SUM(tbl_Adjustments[Debit])</totalsRowFormula>
    </tableColumn>
    <tableColumn id="6" xr3:uid="{D8CD7438-69CC-43A4-8B4F-3A5873EFE0C5}" name="Credit" totalsRowFunction="custom" dataDxfId="3" totalsRowDxfId="2">
      <totalsRowFormula>SUM(tbl_Adjustments[Credit])</totalsRowFormula>
    </tableColumn>
    <tableColumn id="7" xr3:uid="{823238FF-EE4F-4A36-9B45-0BE23763953F}" name="Memo"/>
    <tableColumn id="8" xr3:uid="{6506A6A4-744F-441F-A49E-EAF1EE62B526}" name="Calculation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01CC-0CA5-4D3B-A022-C2FE8D29A59B}">
  <dimension ref="A2:H46"/>
  <sheetViews>
    <sheetView tabSelected="1" workbookViewId="0">
      <selection activeCell="E10" sqref="E10"/>
    </sheetView>
  </sheetViews>
  <sheetFormatPr defaultRowHeight="14.4" x14ac:dyDescent="0.3"/>
  <cols>
    <col min="1" max="1" width="22.77734375" bestFit="1" customWidth="1"/>
    <col min="2" max="2" width="11.88671875" bestFit="1" customWidth="1"/>
    <col min="3" max="3" width="22.77734375" bestFit="1" customWidth="1"/>
    <col min="4" max="4" width="11.88671875" bestFit="1" customWidth="1"/>
    <col min="5" max="5" width="11.109375" customWidth="1"/>
    <col min="6" max="6" width="15.44140625" bestFit="1" customWidth="1"/>
    <col min="7" max="7" width="9" bestFit="1" customWidth="1"/>
    <col min="8" max="8" width="17.6640625" bestFit="1" customWidth="1"/>
  </cols>
  <sheetData>
    <row r="2" spans="1:8" x14ac:dyDescent="0.3">
      <c r="A2" t="s">
        <v>69</v>
      </c>
      <c r="B2" t="s">
        <v>68</v>
      </c>
      <c r="C2" t="s">
        <v>67</v>
      </c>
      <c r="D2" t="s">
        <v>66</v>
      </c>
      <c r="E2" t="s">
        <v>65</v>
      </c>
      <c r="F2" t="s">
        <v>1</v>
      </c>
      <c r="G2" t="s">
        <v>64</v>
      </c>
      <c r="H2" t="s">
        <v>63</v>
      </c>
    </row>
    <row r="3" spans="1:8" x14ac:dyDescent="0.3">
      <c r="A3" s="2">
        <v>45973</v>
      </c>
      <c r="B3" s="2">
        <v>45974</v>
      </c>
      <c r="C3" t="s">
        <v>62</v>
      </c>
      <c r="D3" t="s">
        <v>23</v>
      </c>
      <c r="E3" t="s">
        <v>22</v>
      </c>
      <c r="F3">
        <v>85.5</v>
      </c>
      <c r="G3" t="s">
        <v>31</v>
      </c>
    </row>
    <row r="4" spans="1:8" x14ac:dyDescent="0.3">
      <c r="A4" s="2">
        <v>45973</v>
      </c>
      <c r="B4" s="2">
        <v>45974</v>
      </c>
      <c r="C4" t="s">
        <v>61</v>
      </c>
      <c r="D4" t="s">
        <v>18</v>
      </c>
      <c r="E4" t="s">
        <v>11</v>
      </c>
      <c r="F4">
        <v>24.3</v>
      </c>
      <c r="G4" t="s">
        <v>31</v>
      </c>
      <c r="H4" t="s">
        <v>60</v>
      </c>
    </row>
    <row r="5" spans="1:8" x14ac:dyDescent="0.3">
      <c r="A5" s="2">
        <v>45976</v>
      </c>
      <c r="B5" s="2">
        <v>45977</v>
      </c>
      <c r="C5" t="s">
        <v>59</v>
      </c>
      <c r="D5" t="s">
        <v>16</v>
      </c>
      <c r="E5" t="s">
        <v>13</v>
      </c>
      <c r="F5">
        <v>234.5</v>
      </c>
      <c r="G5" t="s">
        <v>31</v>
      </c>
    </row>
    <row r="6" spans="1:8" x14ac:dyDescent="0.3">
      <c r="A6" s="2">
        <v>45976</v>
      </c>
      <c r="B6" s="2">
        <v>45977</v>
      </c>
      <c r="C6" t="s">
        <v>58</v>
      </c>
      <c r="D6" t="s">
        <v>16</v>
      </c>
      <c r="E6" t="s">
        <v>15</v>
      </c>
      <c r="F6">
        <v>127.8</v>
      </c>
      <c r="G6" t="s">
        <v>31</v>
      </c>
    </row>
    <row r="7" spans="1:8" s="1" customFormat="1" x14ac:dyDescent="0.3">
      <c r="A7" s="13">
        <v>45979</v>
      </c>
      <c r="B7" s="13">
        <v>45980</v>
      </c>
      <c r="C7" s="1" t="s">
        <v>57</v>
      </c>
      <c r="D7" s="1" t="s">
        <v>23</v>
      </c>
      <c r="E7" s="1" t="s">
        <v>21</v>
      </c>
      <c r="F7" s="1">
        <v>92</v>
      </c>
      <c r="G7" s="1" t="s">
        <v>56</v>
      </c>
      <c r="H7" s="1" t="s">
        <v>55</v>
      </c>
    </row>
    <row r="8" spans="1:8" x14ac:dyDescent="0.3">
      <c r="A8" s="2">
        <v>45979</v>
      </c>
      <c r="B8" s="2">
        <v>45980</v>
      </c>
      <c r="C8" t="s">
        <v>54</v>
      </c>
      <c r="D8" t="s">
        <v>24</v>
      </c>
      <c r="E8" t="s">
        <v>13</v>
      </c>
      <c r="F8">
        <v>456.8</v>
      </c>
      <c r="G8" t="s">
        <v>31</v>
      </c>
      <c r="H8" t="s">
        <v>53</v>
      </c>
    </row>
    <row r="9" spans="1:8" x14ac:dyDescent="0.3">
      <c r="A9" s="2">
        <v>45981</v>
      </c>
      <c r="B9" s="2">
        <v>45982</v>
      </c>
      <c r="C9" t="s">
        <v>52</v>
      </c>
      <c r="D9" t="s">
        <v>26</v>
      </c>
      <c r="E9" t="s">
        <v>25</v>
      </c>
      <c r="F9" s="3">
        <v>1245</v>
      </c>
      <c r="G9" t="s">
        <v>31</v>
      </c>
      <c r="H9" t="s">
        <v>51</v>
      </c>
    </row>
    <row r="10" spans="1:8" x14ac:dyDescent="0.3">
      <c r="A10" s="2">
        <v>45983</v>
      </c>
      <c r="B10" s="2">
        <v>45984</v>
      </c>
      <c r="C10" t="s">
        <v>50</v>
      </c>
      <c r="D10" t="s">
        <v>16</v>
      </c>
      <c r="E10" t="s">
        <v>15</v>
      </c>
      <c r="F10">
        <v>389.6</v>
      </c>
      <c r="G10" t="s">
        <v>31</v>
      </c>
      <c r="H10" t="s">
        <v>49</v>
      </c>
    </row>
    <row r="11" spans="1:8" x14ac:dyDescent="0.3">
      <c r="A11" s="2">
        <v>45983</v>
      </c>
      <c r="B11" s="2">
        <v>45984</v>
      </c>
      <c r="C11" t="s">
        <v>48</v>
      </c>
      <c r="D11" t="s">
        <v>18</v>
      </c>
      <c r="E11" t="s">
        <v>17</v>
      </c>
      <c r="F11">
        <v>45.7</v>
      </c>
      <c r="G11" t="s">
        <v>31</v>
      </c>
      <c r="H11" t="s">
        <v>47</v>
      </c>
    </row>
    <row r="12" spans="1:8" x14ac:dyDescent="0.3">
      <c r="A12" s="2">
        <v>45986</v>
      </c>
      <c r="B12" s="2">
        <v>45987</v>
      </c>
      <c r="C12" t="s">
        <v>46</v>
      </c>
      <c r="D12" t="s">
        <v>12</v>
      </c>
      <c r="E12" t="s">
        <v>11</v>
      </c>
      <c r="F12">
        <v>520</v>
      </c>
      <c r="G12" t="s">
        <v>31</v>
      </c>
      <c r="H12" t="s">
        <v>45</v>
      </c>
    </row>
    <row r="13" spans="1:8" x14ac:dyDescent="0.3">
      <c r="A13" s="2">
        <v>45986</v>
      </c>
      <c r="B13" s="2">
        <v>45987</v>
      </c>
      <c r="C13" t="s">
        <v>44</v>
      </c>
      <c r="D13" t="s">
        <v>12</v>
      </c>
      <c r="E13" t="s">
        <v>11</v>
      </c>
      <c r="F13">
        <v>48.5</v>
      </c>
      <c r="G13" t="s">
        <v>31</v>
      </c>
      <c r="H13" t="s">
        <v>43</v>
      </c>
    </row>
    <row r="14" spans="1:8" x14ac:dyDescent="0.3">
      <c r="A14" s="2">
        <v>45987</v>
      </c>
      <c r="B14" s="2">
        <v>45988</v>
      </c>
      <c r="C14" t="s">
        <v>42</v>
      </c>
      <c r="D14" t="s">
        <v>12</v>
      </c>
      <c r="E14" t="s">
        <v>10</v>
      </c>
      <c r="F14">
        <v>785</v>
      </c>
      <c r="G14" t="s">
        <v>31</v>
      </c>
      <c r="H14" t="s">
        <v>41</v>
      </c>
    </row>
    <row r="15" spans="1:8" x14ac:dyDescent="0.3">
      <c r="A15" s="2">
        <v>45987</v>
      </c>
      <c r="B15" s="2">
        <v>45988</v>
      </c>
      <c r="C15" t="s">
        <v>40</v>
      </c>
      <c r="D15" t="s">
        <v>12</v>
      </c>
      <c r="E15" t="s">
        <v>10</v>
      </c>
      <c r="F15">
        <v>320</v>
      </c>
      <c r="G15" t="s">
        <v>31</v>
      </c>
      <c r="H15" t="s">
        <v>39</v>
      </c>
    </row>
    <row r="16" spans="1:8" x14ac:dyDescent="0.3">
      <c r="A16" s="2">
        <v>45989</v>
      </c>
      <c r="B16" s="2">
        <v>45990</v>
      </c>
      <c r="C16" t="s">
        <v>38</v>
      </c>
      <c r="D16" t="s">
        <v>20</v>
      </c>
      <c r="E16" t="s">
        <v>19</v>
      </c>
      <c r="F16">
        <v>178.9</v>
      </c>
      <c r="G16" t="s">
        <v>31</v>
      </c>
      <c r="H16" t="s">
        <v>37</v>
      </c>
    </row>
    <row r="17" spans="1:8" x14ac:dyDescent="0.3">
      <c r="A17" s="2">
        <v>45989</v>
      </c>
      <c r="B17" s="2">
        <v>45990</v>
      </c>
      <c r="C17" t="s">
        <v>36</v>
      </c>
      <c r="D17" t="s">
        <v>20</v>
      </c>
      <c r="E17" t="s">
        <v>19</v>
      </c>
      <c r="F17">
        <v>234.5</v>
      </c>
      <c r="G17" t="s">
        <v>31</v>
      </c>
      <c r="H17" t="s">
        <v>35</v>
      </c>
    </row>
    <row r="18" spans="1:8" x14ac:dyDescent="0.3">
      <c r="A18" s="2">
        <v>45991</v>
      </c>
      <c r="B18" s="2">
        <v>45992</v>
      </c>
      <c r="C18" t="s">
        <v>34</v>
      </c>
      <c r="D18" t="s">
        <v>27</v>
      </c>
      <c r="E18" t="s">
        <v>15</v>
      </c>
      <c r="F18">
        <v>149.99</v>
      </c>
      <c r="G18" t="s">
        <v>31</v>
      </c>
      <c r="H18" t="s">
        <v>33</v>
      </c>
    </row>
    <row r="19" spans="1:8" x14ac:dyDescent="0.3">
      <c r="A19" s="2">
        <v>45991</v>
      </c>
      <c r="B19" s="2">
        <v>45992</v>
      </c>
      <c r="C19" t="s">
        <v>32</v>
      </c>
      <c r="D19" t="s">
        <v>14</v>
      </c>
      <c r="E19" t="s">
        <v>13</v>
      </c>
      <c r="F19">
        <v>189</v>
      </c>
      <c r="G19" t="s">
        <v>31</v>
      </c>
      <c r="H19" t="s">
        <v>30</v>
      </c>
    </row>
    <row r="21" spans="1:8" x14ac:dyDescent="0.3">
      <c r="A21" s="12" t="s">
        <v>29</v>
      </c>
      <c r="B21" t="s">
        <v>28</v>
      </c>
    </row>
    <row r="22" spans="1:8" x14ac:dyDescent="0.3">
      <c r="A22" s="10" t="s">
        <v>27</v>
      </c>
      <c r="B22">
        <v>149.99</v>
      </c>
    </row>
    <row r="23" spans="1:8" x14ac:dyDescent="0.3">
      <c r="A23" s="11" t="s">
        <v>15</v>
      </c>
      <c r="B23">
        <v>149.99</v>
      </c>
    </row>
    <row r="24" spans="1:8" x14ac:dyDescent="0.3">
      <c r="A24" s="10" t="s">
        <v>26</v>
      </c>
      <c r="B24">
        <v>1245</v>
      </c>
    </row>
    <row r="25" spans="1:8" x14ac:dyDescent="0.3">
      <c r="A25" s="11" t="s">
        <v>25</v>
      </c>
      <c r="B25">
        <v>1245</v>
      </c>
    </row>
    <row r="26" spans="1:8" x14ac:dyDescent="0.3">
      <c r="A26" s="10" t="s">
        <v>24</v>
      </c>
      <c r="B26">
        <v>456.8</v>
      </c>
    </row>
    <row r="27" spans="1:8" x14ac:dyDescent="0.3">
      <c r="A27" s="10" t="s">
        <v>23</v>
      </c>
      <c r="B27">
        <v>177.5</v>
      </c>
    </row>
    <row r="28" spans="1:8" x14ac:dyDescent="0.3">
      <c r="A28" s="11" t="s">
        <v>22</v>
      </c>
      <c r="B28">
        <v>85.5</v>
      </c>
    </row>
    <row r="29" spans="1:8" x14ac:dyDescent="0.3">
      <c r="A29" s="11" t="s">
        <v>21</v>
      </c>
      <c r="B29">
        <v>92</v>
      </c>
    </row>
    <row r="30" spans="1:8" x14ac:dyDescent="0.3">
      <c r="A30" s="10" t="s">
        <v>20</v>
      </c>
      <c r="B30">
        <v>413.4</v>
      </c>
    </row>
    <row r="31" spans="1:8" x14ac:dyDescent="0.3">
      <c r="A31" s="11" t="s">
        <v>19</v>
      </c>
      <c r="B31">
        <v>413.4</v>
      </c>
    </row>
    <row r="32" spans="1:8" x14ac:dyDescent="0.3">
      <c r="A32" s="10" t="s">
        <v>18</v>
      </c>
      <c r="B32">
        <v>70</v>
      </c>
    </row>
    <row r="33" spans="1:8" x14ac:dyDescent="0.3">
      <c r="A33" s="11" t="s">
        <v>11</v>
      </c>
      <c r="B33">
        <v>24.3</v>
      </c>
    </row>
    <row r="34" spans="1:8" x14ac:dyDescent="0.3">
      <c r="A34" s="11" t="s">
        <v>17</v>
      </c>
      <c r="B34">
        <v>45.7</v>
      </c>
    </row>
    <row r="35" spans="1:8" x14ac:dyDescent="0.3">
      <c r="A35" s="10" t="s">
        <v>16</v>
      </c>
      <c r="B35">
        <v>751.9</v>
      </c>
    </row>
    <row r="36" spans="1:8" x14ac:dyDescent="0.3">
      <c r="A36" s="11" t="s">
        <v>13</v>
      </c>
      <c r="B36">
        <v>234.5</v>
      </c>
    </row>
    <row r="37" spans="1:8" x14ac:dyDescent="0.3">
      <c r="A37" s="11" t="s">
        <v>15</v>
      </c>
      <c r="B37">
        <v>517.4</v>
      </c>
    </row>
    <row r="38" spans="1:8" x14ac:dyDescent="0.3">
      <c r="A38" s="10" t="s">
        <v>14</v>
      </c>
      <c r="B38">
        <v>189</v>
      </c>
    </row>
    <row r="39" spans="1:8" x14ac:dyDescent="0.3">
      <c r="A39" s="11" t="s">
        <v>13</v>
      </c>
      <c r="B39">
        <v>189</v>
      </c>
    </row>
    <row r="40" spans="1:8" x14ac:dyDescent="0.3">
      <c r="A40" s="10" t="s">
        <v>12</v>
      </c>
      <c r="B40">
        <v>1673.5</v>
      </c>
    </row>
    <row r="41" spans="1:8" x14ac:dyDescent="0.3">
      <c r="A41" s="11" t="s">
        <v>11</v>
      </c>
      <c r="B41">
        <v>568.5</v>
      </c>
    </row>
    <row r="42" spans="1:8" x14ac:dyDescent="0.3">
      <c r="A42" s="11" t="s">
        <v>10</v>
      </c>
      <c r="B42">
        <v>1105</v>
      </c>
    </row>
    <row r="43" spans="1:8" x14ac:dyDescent="0.3">
      <c r="A43" s="10" t="s">
        <v>9</v>
      </c>
      <c r="B43">
        <v>5127.09</v>
      </c>
    </row>
    <row r="45" spans="1:8" x14ac:dyDescent="0.3">
      <c r="A45" s="9" t="str" cm="1">
        <f t="array" ref="A45:F45">tbl_CreditCard[[#Headers],[Trans_Date]:[Amount]]</f>
        <v>Trans_Date</v>
      </c>
      <c r="B45" s="9" t="str">
        <v>Post_Date</v>
      </c>
      <c r="C45" s="9" t="str">
        <v>Merchant</v>
      </c>
      <c r="D45" s="9" t="str">
        <v>Category</v>
      </c>
      <c r="E45" s="9" t="str">
        <v>Employee</v>
      </c>
      <c r="F45" s="9" t="str">
        <v>Amount</v>
      </c>
      <c r="G45" s="9" t="s">
        <v>8</v>
      </c>
      <c r="H45" s="9" t="s">
        <v>7</v>
      </c>
    </row>
    <row r="46" spans="1:8" x14ac:dyDescent="0.3">
      <c r="A46" s="8" cm="1">
        <f t="array" ref="A46:F46">_xlfn._xlws.FILTER(tbl_CreditCard[[Trans_Date]:[Amount]],tbl_CreditCard[Receipt]="NO","")</f>
        <v>45979</v>
      </c>
      <c r="B46" s="8">
        <v>45980</v>
      </c>
      <c r="C46" s="8" t="str">
        <v>Shell Gas - Highway 401</v>
      </c>
      <c r="D46" s="8" t="str">
        <v>Fuel</v>
      </c>
      <c r="E46" s="8" t="str">
        <v>E006</v>
      </c>
      <c r="F46" s="7">
        <v>92</v>
      </c>
      <c r="G46" s="6" t="str">
        <f ca="1">TODAY()-A46&amp;" Days"</f>
        <v>38 Days</v>
      </c>
      <c r="H46" s="5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116F-E842-47A5-BB9E-0CAAD7C79F07}">
  <dimension ref="A2:F12"/>
  <sheetViews>
    <sheetView workbookViewId="0"/>
  </sheetViews>
  <sheetFormatPr defaultRowHeight="14.4" x14ac:dyDescent="0.3"/>
  <cols>
    <col min="1" max="1" width="10.33203125" bestFit="1" customWidth="1"/>
    <col min="2" max="2" width="9.6640625" customWidth="1"/>
    <col min="3" max="3" width="15.44140625" customWidth="1"/>
    <col min="4" max="5" width="9.109375" bestFit="1" customWidth="1"/>
    <col min="6" max="6" width="15.109375" customWidth="1"/>
  </cols>
  <sheetData>
    <row r="2" spans="1:6" x14ac:dyDescent="0.3">
      <c r="A2" t="s">
        <v>0</v>
      </c>
      <c r="B2" t="s">
        <v>6</v>
      </c>
      <c r="C2" t="s">
        <v>5</v>
      </c>
      <c r="D2" t="s">
        <v>4</v>
      </c>
      <c r="E2" t="s">
        <v>3</v>
      </c>
      <c r="F2" t="s">
        <v>74</v>
      </c>
    </row>
    <row r="3" spans="1:6" x14ac:dyDescent="0.3">
      <c r="A3" s="2">
        <v>45991</v>
      </c>
      <c r="B3">
        <v>5300</v>
      </c>
      <c r="C3" t="s">
        <v>73</v>
      </c>
      <c r="D3" s="4">
        <v>177.5</v>
      </c>
      <c r="E3" s="4"/>
      <c r="F3" s="7">
        <f>SUMIF(tbl_CreditCard[Category],"Fuel",tbl_CreditCard[Amount])</f>
        <v>177.5</v>
      </c>
    </row>
    <row r="4" spans="1:6" x14ac:dyDescent="0.3">
      <c r="A4" s="2">
        <v>45991</v>
      </c>
      <c r="B4">
        <v>5320</v>
      </c>
      <c r="C4" t="s">
        <v>72</v>
      </c>
      <c r="D4" s="4">
        <v>70</v>
      </c>
      <c r="E4" s="4"/>
      <c r="F4" s="7">
        <f>SUMIF(tbl_CreditCard[Category],"Meals",tbl_CreditCard[Amount])</f>
        <v>70</v>
      </c>
    </row>
    <row r="5" spans="1:6" x14ac:dyDescent="0.3">
      <c r="A5" s="2">
        <v>45991</v>
      </c>
      <c r="B5">
        <v>5200</v>
      </c>
      <c r="C5" t="s">
        <v>16</v>
      </c>
      <c r="D5" s="4">
        <v>751.9</v>
      </c>
      <c r="E5" s="4"/>
      <c r="F5" s="7">
        <f>SUMIF(tbl_CreditCard[Category],"Office Supplies",tbl_CreditCard[Amount])</f>
        <v>751.90000000000009</v>
      </c>
    </row>
    <row r="6" spans="1:6" x14ac:dyDescent="0.3">
      <c r="A6" s="2">
        <v>45991</v>
      </c>
      <c r="B6">
        <v>5400</v>
      </c>
      <c r="C6" t="s">
        <v>24</v>
      </c>
      <c r="D6" s="4">
        <v>1701.8</v>
      </c>
      <c r="E6" s="4"/>
      <c r="F6" s="7">
        <f>SUMIF(tbl_CreditCard[Category],"Equipment",tbl_CreditCard[Amount])</f>
        <v>456.8</v>
      </c>
    </row>
    <row r="7" spans="1:6" x14ac:dyDescent="0.3">
      <c r="A7" s="2">
        <v>45991</v>
      </c>
      <c r="B7">
        <v>5500</v>
      </c>
      <c r="C7" t="s">
        <v>26</v>
      </c>
      <c r="D7" s="4">
        <v>1245</v>
      </c>
      <c r="E7" s="4"/>
      <c r="F7" s="7">
        <f>SUMIF(tbl_CreditCard[Category],"Computer Equipment",tbl_CreditCard[Amount])</f>
        <v>1245</v>
      </c>
    </row>
    <row r="8" spans="1:6" x14ac:dyDescent="0.3">
      <c r="A8" s="2">
        <v>45991</v>
      </c>
      <c r="B8">
        <v>5600</v>
      </c>
      <c r="C8" t="s">
        <v>71</v>
      </c>
      <c r="D8" s="4">
        <v>1673.5</v>
      </c>
      <c r="E8" s="4"/>
      <c r="F8" s="7">
        <f>SUMIF(tbl_CreditCard[Category],"Travel",tbl_CreditCard[Amount])</f>
        <v>1673.5</v>
      </c>
    </row>
    <row r="9" spans="1:6" x14ac:dyDescent="0.3">
      <c r="A9" s="2">
        <v>45991</v>
      </c>
      <c r="B9">
        <v>5250</v>
      </c>
      <c r="C9" t="s">
        <v>20</v>
      </c>
      <c r="D9" s="4">
        <v>413.4</v>
      </c>
      <c r="E9" s="4"/>
      <c r="F9" s="7">
        <f>SUMIF(tbl_CreditCard[Category],"Maintenance",tbl_CreditCard[Amount])</f>
        <v>413.4</v>
      </c>
    </row>
    <row r="10" spans="1:6" x14ac:dyDescent="0.3">
      <c r="A10" s="2">
        <v>45991</v>
      </c>
      <c r="B10">
        <v>5700</v>
      </c>
      <c r="C10" t="s">
        <v>27</v>
      </c>
      <c r="D10" s="4">
        <v>149.99</v>
      </c>
      <c r="E10" s="4"/>
      <c r="F10" s="7">
        <f>SUMIF(tbl_CreditCard[Category],"Advertising",tbl_CreditCard[Amount])</f>
        <v>149.99</v>
      </c>
    </row>
    <row r="11" spans="1:6" x14ac:dyDescent="0.3">
      <c r="A11" s="2">
        <v>45991</v>
      </c>
      <c r="B11">
        <v>5410</v>
      </c>
      <c r="C11" t="s">
        <v>14</v>
      </c>
      <c r="D11" s="4">
        <v>189</v>
      </c>
      <c r="E11" s="4"/>
      <c r="F11" s="7">
        <f>SUMIF(tbl_CreditCard[Category],"Software",tbl_CreditCard[Amount])</f>
        <v>189</v>
      </c>
    </row>
    <row r="12" spans="1:6" x14ac:dyDescent="0.3">
      <c r="A12" s="2">
        <v>45991</v>
      </c>
      <c r="B12">
        <v>2010</v>
      </c>
      <c r="C12" t="s">
        <v>70</v>
      </c>
      <c r="D12" s="4"/>
      <c r="E12" s="4">
        <v>5372.09</v>
      </c>
      <c r="F12" s="7">
        <f>SUM(D2:D10)</f>
        <v>6183.0899999999992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04E0-4968-4C44-BEE0-9C065A86D789}">
  <dimension ref="A1:H19"/>
  <sheetViews>
    <sheetView topLeftCell="C1" workbookViewId="0">
      <selection activeCell="I21" sqref="I21"/>
    </sheetView>
  </sheetViews>
  <sheetFormatPr defaultRowHeight="14.4" x14ac:dyDescent="0.3"/>
  <cols>
    <col min="1" max="1" width="10.21875" customWidth="1"/>
    <col min="2" max="2" width="10.33203125" bestFit="1" customWidth="1"/>
    <col min="3" max="3" width="9.6640625" customWidth="1"/>
    <col min="4" max="4" width="27.33203125" bestFit="1" customWidth="1"/>
    <col min="5" max="6" width="9.109375" style="4" bestFit="1" customWidth="1"/>
    <col min="7" max="7" width="25.21875" bestFit="1" customWidth="1"/>
    <col min="8" max="8" width="12.44140625" style="4" customWidth="1"/>
  </cols>
  <sheetData>
    <row r="1" spans="1:8" x14ac:dyDescent="0.3">
      <c r="A1" t="s">
        <v>100</v>
      </c>
      <c r="B1" t="s">
        <v>0</v>
      </c>
      <c r="C1" t="s">
        <v>6</v>
      </c>
      <c r="D1" t="s">
        <v>5</v>
      </c>
      <c r="E1" s="4" t="s">
        <v>4</v>
      </c>
      <c r="F1" s="4" t="s">
        <v>3</v>
      </c>
      <c r="G1" t="s">
        <v>2</v>
      </c>
      <c r="H1" s="4" t="s">
        <v>99</v>
      </c>
    </row>
    <row r="2" spans="1:8" x14ac:dyDescent="0.3">
      <c r="A2" t="s">
        <v>96</v>
      </c>
      <c r="B2" s="2">
        <v>46022</v>
      </c>
      <c r="C2">
        <v>5210</v>
      </c>
      <c r="D2" t="s">
        <v>98</v>
      </c>
      <c r="E2" s="4">
        <v>600</v>
      </c>
      <c r="G2" t="s">
        <v>97</v>
      </c>
      <c r="H2" s="7">
        <f>7200/12</f>
        <v>600</v>
      </c>
    </row>
    <row r="3" spans="1:8" x14ac:dyDescent="0.3">
      <c r="A3" t="s">
        <v>96</v>
      </c>
      <c r="B3" s="2">
        <v>46022</v>
      </c>
      <c r="C3">
        <v>1300</v>
      </c>
      <c r="D3" t="s">
        <v>95</v>
      </c>
      <c r="F3" s="4">
        <v>600</v>
      </c>
      <c r="H3" s="7"/>
    </row>
    <row r="4" spans="1:8" x14ac:dyDescent="0.3">
      <c r="H4" s="7"/>
    </row>
    <row r="5" spans="1:8" x14ac:dyDescent="0.3">
      <c r="A5" t="s">
        <v>92</v>
      </c>
      <c r="B5" s="2">
        <v>46022</v>
      </c>
      <c r="C5">
        <v>5220</v>
      </c>
      <c r="D5" t="s">
        <v>94</v>
      </c>
      <c r="E5" s="4">
        <v>3750</v>
      </c>
      <c r="G5" t="s">
        <v>93</v>
      </c>
      <c r="H5" s="7">
        <f>(250000-25000)/5/12</f>
        <v>3750</v>
      </c>
    </row>
    <row r="6" spans="1:8" x14ac:dyDescent="0.3">
      <c r="A6" t="s">
        <v>92</v>
      </c>
      <c r="B6" s="2">
        <v>46022</v>
      </c>
      <c r="C6">
        <v>1410</v>
      </c>
      <c r="D6" t="s">
        <v>91</v>
      </c>
      <c r="F6" s="4">
        <v>3750</v>
      </c>
      <c r="H6" s="7"/>
    </row>
    <row r="7" spans="1:8" x14ac:dyDescent="0.3">
      <c r="H7" s="7"/>
    </row>
    <row r="8" spans="1:8" x14ac:dyDescent="0.3">
      <c r="A8" t="s">
        <v>88</v>
      </c>
      <c r="B8" s="2">
        <v>46022</v>
      </c>
      <c r="C8">
        <v>5100</v>
      </c>
      <c r="D8" t="s">
        <v>90</v>
      </c>
      <c r="E8" s="4">
        <v>3400</v>
      </c>
      <c r="G8" t="s">
        <v>89</v>
      </c>
      <c r="H8" s="7">
        <f>1133.33*3</f>
        <v>3399.99</v>
      </c>
    </row>
    <row r="9" spans="1:8" x14ac:dyDescent="0.3">
      <c r="A9" t="s">
        <v>88</v>
      </c>
      <c r="B9" s="2">
        <v>46022</v>
      </c>
      <c r="C9">
        <v>2200</v>
      </c>
      <c r="D9" t="s">
        <v>87</v>
      </c>
      <c r="F9" s="4">
        <v>3400</v>
      </c>
      <c r="H9" s="7"/>
    </row>
    <row r="10" spans="1:8" x14ac:dyDescent="0.3">
      <c r="H10" s="7"/>
    </row>
    <row r="11" spans="1:8" x14ac:dyDescent="0.3">
      <c r="A11" t="s">
        <v>84</v>
      </c>
      <c r="B11" s="2">
        <v>46022</v>
      </c>
      <c r="C11">
        <v>5000</v>
      </c>
      <c r="D11" t="s">
        <v>86</v>
      </c>
      <c r="E11" s="4">
        <v>800</v>
      </c>
      <c r="G11" t="s">
        <v>85</v>
      </c>
      <c r="H11" s="7">
        <f>45600-44800</f>
        <v>800</v>
      </c>
    </row>
    <row r="12" spans="1:8" x14ac:dyDescent="0.3">
      <c r="A12" t="s">
        <v>84</v>
      </c>
      <c r="B12" s="2">
        <v>46022</v>
      </c>
      <c r="C12">
        <v>1200</v>
      </c>
      <c r="D12" t="s">
        <v>83</v>
      </c>
      <c r="F12" s="4">
        <v>800</v>
      </c>
      <c r="H12" s="7"/>
    </row>
    <row r="13" spans="1:8" x14ac:dyDescent="0.3">
      <c r="H13" s="7"/>
    </row>
    <row r="14" spans="1:8" x14ac:dyDescent="0.3">
      <c r="A14" t="s">
        <v>80</v>
      </c>
      <c r="B14" s="2">
        <v>46022</v>
      </c>
      <c r="C14">
        <v>5900</v>
      </c>
      <c r="D14" t="s">
        <v>82</v>
      </c>
      <c r="E14" s="4">
        <v>652</v>
      </c>
      <c r="G14" t="s">
        <v>81</v>
      </c>
      <c r="H14" s="7">
        <f>65200*0.01</f>
        <v>652</v>
      </c>
    </row>
    <row r="15" spans="1:8" x14ac:dyDescent="0.3">
      <c r="A15" t="s">
        <v>80</v>
      </c>
      <c r="B15" s="2">
        <v>46022</v>
      </c>
      <c r="C15">
        <v>1110</v>
      </c>
      <c r="D15" t="s">
        <v>79</v>
      </c>
      <c r="F15" s="4">
        <v>652</v>
      </c>
      <c r="H15" s="7"/>
    </row>
    <row r="16" spans="1:8" x14ac:dyDescent="0.3">
      <c r="H16" s="7"/>
    </row>
    <row r="17" spans="1:8" x14ac:dyDescent="0.3">
      <c r="A17" t="s">
        <v>76</v>
      </c>
      <c r="B17" s="2">
        <v>46022</v>
      </c>
      <c r="C17">
        <v>5800</v>
      </c>
      <c r="D17" t="s">
        <v>78</v>
      </c>
      <c r="E17" s="4">
        <v>400</v>
      </c>
      <c r="G17" t="s">
        <v>77</v>
      </c>
      <c r="H17" s="7">
        <f>80000*0.06/12</f>
        <v>400</v>
      </c>
    </row>
    <row r="18" spans="1:8" x14ac:dyDescent="0.3">
      <c r="A18" t="s">
        <v>76</v>
      </c>
      <c r="B18" s="2">
        <v>46022</v>
      </c>
      <c r="C18">
        <v>2300</v>
      </c>
      <c r="D18" t="s">
        <v>75</v>
      </c>
      <c r="F18" s="4">
        <v>400</v>
      </c>
      <c r="H18" s="7"/>
    </row>
    <row r="19" spans="1:8" x14ac:dyDescent="0.3">
      <c r="B19" s="2"/>
      <c r="E19" s="4">
        <f>SUM(tbl_Adjustments[Debit])</f>
        <v>9602</v>
      </c>
      <c r="F19" s="4">
        <f>SUM(tbl_Adjustments[Credit])</f>
        <v>9602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 CC_Statement</vt:lpstr>
      <vt:lpstr>8 JE_CreditCard</vt:lpstr>
      <vt:lpstr>9 JE_Adjustments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Kori</dc:creator>
  <cp:lastModifiedBy>Arjun Kori</cp:lastModifiedBy>
  <cp:lastPrinted>2025-12-26T20:56:54Z</cp:lastPrinted>
  <dcterms:created xsi:type="dcterms:W3CDTF">2025-12-26T20:50:47Z</dcterms:created>
  <dcterms:modified xsi:type="dcterms:W3CDTF">2025-12-26T21:25:32Z</dcterms:modified>
</cp:coreProperties>
</file>