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2173900fa0e546/Desktop/"/>
    </mc:Choice>
  </mc:AlternateContent>
  <xr:revisionPtr revIDLastSave="431" documentId="8_{A838EE8B-8033-4B86-B764-98DA999FF9B1}" xr6:coauthVersionLast="47" xr6:coauthVersionMax="47" xr10:uidLastSave="{9022E5F3-BC63-4821-96A0-0A22F3597B4E}"/>
  <bookViews>
    <workbookView xWindow="11424" yWindow="0" windowWidth="11712" windowHeight="12336" xr2:uid="{9184E897-CEA4-4347-B064-77314A6B3B25}"/>
  </bookViews>
  <sheets>
    <sheet name="Dashboard" sheetId="5" r:id="rId1"/>
    <sheet name="Payroll_Master" sheetId="1" r:id="rId2"/>
    <sheet name="Payroll_Weekly" sheetId="2" r:id="rId3"/>
    <sheet name="Payroll_Calc" sheetId="3" r:id="rId4"/>
    <sheet name="JE_Payroll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3" l="1"/>
  <c r="D6" i="3"/>
  <c r="D8" i="3"/>
  <c r="D10" i="3"/>
  <c r="D12" i="3"/>
  <c r="D13" i="3"/>
  <c r="D14" i="3"/>
  <c r="D15" i="3"/>
  <c r="D16" i="3"/>
  <c r="D18" i="3"/>
  <c r="D20" i="3"/>
  <c r="D22" i="3"/>
  <c r="D24" i="3"/>
  <c r="D25" i="3"/>
  <c r="D26" i="3"/>
  <c r="D27" i="3"/>
  <c r="D28" i="3"/>
  <c r="D30" i="3"/>
  <c r="D2" i="3"/>
  <c r="C6" i="3"/>
  <c r="C7" i="3"/>
  <c r="C8" i="3"/>
  <c r="C9" i="3"/>
  <c r="C10" i="3"/>
  <c r="C12" i="3"/>
  <c r="C18" i="3"/>
  <c r="C19" i="3"/>
  <c r="C20" i="3"/>
  <c r="C21" i="3"/>
  <c r="C22" i="3"/>
  <c r="C24" i="3"/>
  <c r="C30" i="3"/>
  <c r="C31" i="3"/>
  <c r="A3" i="3"/>
  <c r="D3" i="3" s="1"/>
  <c r="A4" i="3"/>
  <c r="C4" i="3" s="1"/>
  <c r="A5" i="3"/>
  <c r="D5" i="3" s="1"/>
  <c r="A6" i="3"/>
  <c r="A7" i="3"/>
  <c r="D7" i="3" s="1"/>
  <c r="A8" i="3"/>
  <c r="A9" i="3"/>
  <c r="B9" i="3" s="1"/>
  <c r="A10" i="3"/>
  <c r="B10" i="3" s="1"/>
  <c r="A11" i="3"/>
  <c r="B11" i="3" s="1"/>
  <c r="A12" i="3"/>
  <c r="B12" i="3" s="1"/>
  <c r="A13" i="3"/>
  <c r="B13" i="3" s="1"/>
  <c r="A14" i="3"/>
  <c r="B14" i="3" s="1"/>
  <c r="A15" i="3"/>
  <c r="C15" i="3" s="1"/>
  <c r="A16" i="3"/>
  <c r="C16" i="3" s="1"/>
  <c r="E16" i="3" s="1"/>
  <c r="A17" i="3"/>
  <c r="D17" i="3" s="1"/>
  <c r="A18" i="3"/>
  <c r="A19" i="3"/>
  <c r="D19" i="3" s="1"/>
  <c r="A20" i="3"/>
  <c r="A21" i="3"/>
  <c r="B21" i="3" s="1"/>
  <c r="A22" i="3"/>
  <c r="B22" i="3" s="1"/>
  <c r="A23" i="3"/>
  <c r="B23" i="3" s="1"/>
  <c r="A24" i="3"/>
  <c r="B24" i="3" s="1"/>
  <c r="A25" i="3"/>
  <c r="B25" i="3" s="1"/>
  <c r="A26" i="3"/>
  <c r="B26" i="3" s="1"/>
  <c r="A27" i="3"/>
  <c r="B27" i="3" s="1"/>
  <c r="A28" i="3"/>
  <c r="C28" i="3" s="1"/>
  <c r="A29" i="3"/>
  <c r="D29" i="3" s="1"/>
  <c r="A30" i="3"/>
  <c r="A31" i="3"/>
  <c r="D31" i="3" s="1"/>
  <c r="A2" i="3"/>
  <c r="B2" i="3" s="1"/>
  <c r="B6" i="3"/>
  <c r="B7" i="3"/>
  <c r="B8" i="3"/>
  <c r="B15" i="3"/>
  <c r="B16" i="3"/>
  <c r="B17" i="3"/>
  <c r="B18" i="3"/>
  <c r="B19" i="3"/>
  <c r="B20" i="3"/>
  <c r="B30" i="3"/>
  <c r="B31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2" i="2"/>
  <c r="E30" i="3" l="1"/>
  <c r="E19" i="3"/>
  <c r="E7" i="3"/>
  <c r="E31" i="3"/>
  <c r="E12" i="3"/>
  <c r="G12" i="3" s="1"/>
  <c r="E18" i="3"/>
  <c r="F18" i="3" s="1"/>
  <c r="E20" i="3"/>
  <c r="G20" i="3" s="1"/>
  <c r="E6" i="3"/>
  <c r="F6" i="3" s="1"/>
  <c r="I30" i="3"/>
  <c r="G30" i="3"/>
  <c r="I6" i="3"/>
  <c r="G6" i="3"/>
  <c r="E22" i="3"/>
  <c r="G22" i="3" s="1"/>
  <c r="E24" i="3"/>
  <c r="H24" i="3" s="1"/>
  <c r="E8" i="3"/>
  <c r="G8" i="3" s="1"/>
  <c r="E10" i="3"/>
  <c r="G10" i="3" s="1"/>
  <c r="E28" i="3"/>
  <c r="G28" i="3" s="1"/>
  <c r="E4" i="3"/>
  <c r="F4" i="3" s="1"/>
  <c r="E15" i="3"/>
  <c r="F15" i="3" s="1"/>
  <c r="G19" i="3"/>
  <c r="I19" i="3"/>
  <c r="F19" i="3"/>
  <c r="H19" i="3"/>
  <c r="H12" i="3"/>
  <c r="G31" i="3"/>
  <c r="I31" i="3"/>
  <c r="H31" i="3"/>
  <c r="F31" i="3"/>
  <c r="G7" i="3"/>
  <c r="I7" i="3"/>
  <c r="H7" i="3"/>
  <c r="F7" i="3"/>
  <c r="H28" i="3"/>
  <c r="F16" i="3"/>
  <c r="H16" i="3"/>
  <c r="G16" i="3"/>
  <c r="I16" i="3"/>
  <c r="G18" i="3"/>
  <c r="H18" i="3"/>
  <c r="F20" i="3"/>
  <c r="C29" i="3"/>
  <c r="E29" i="3" s="1"/>
  <c r="C17" i="3"/>
  <c r="E17" i="3" s="1"/>
  <c r="C5" i="3"/>
  <c r="E5" i="3" s="1"/>
  <c r="D23" i="3"/>
  <c r="D11" i="3"/>
  <c r="H30" i="3"/>
  <c r="F30" i="3"/>
  <c r="B28" i="3"/>
  <c r="B4" i="3"/>
  <c r="C27" i="3"/>
  <c r="E27" i="3" s="1"/>
  <c r="C3" i="3"/>
  <c r="E3" i="3" s="1"/>
  <c r="D21" i="3"/>
  <c r="E21" i="3" s="1"/>
  <c r="D9" i="3"/>
  <c r="E9" i="3" s="1"/>
  <c r="B29" i="3"/>
  <c r="B5" i="3"/>
  <c r="B3" i="3"/>
  <c r="C26" i="3"/>
  <c r="E26" i="3" s="1"/>
  <c r="C14" i="3"/>
  <c r="E14" i="3" s="1"/>
  <c r="C25" i="3"/>
  <c r="E25" i="3" s="1"/>
  <c r="C13" i="3"/>
  <c r="E13" i="3" s="1"/>
  <c r="C2" i="3"/>
  <c r="E2" i="3" s="1"/>
  <c r="C23" i="3"/>
  <c r="C11" i="3"/>
  <c r="I18" i="3" l="1"/>
  <c r="I10" i="3"/>
  <c r="F12" i="3"/>
  <c r="I12" i="3"/>
  <c r="I20" i="3"/>
  <c r="F10" i="3"/>
  <c r="H6" i="3"/>
  <c r="J6" i="3" s="1"/>
  <c r="K6" i="3" s="1"/>
  <c r="H20" i="3"/>
  <c r="I4" i="3"/>
  <c r="F28" i="3"/>
  <c r="J28" i="3" s="1"/>
  <c r="K28" i="3" s="1"/>
  <c r="I28" i="3"/>
  <c r="H8" i="3"/>
  <c r="H22" i="3"/>
  <c r="I24" i="3"/>
  <c r="G24" i="3"/>
  <c r="F24" i="3"/>
  <c r="H10" i="3"/>
  <c r="E23" i="3"/>
  <c r="I23" i="3" s="1"/>
  <c r="I8" i="3"/>
  <c r="F22" i="3"/>
  <c r="H4" i="3"/>
  <c r="J31" i="3"/>
  <c r="K31" i="3" s="1"/>
  <c r="E11" i="3"/>
  <c r="F11" i="3" s="1"/>
  <c r="I15" i="3"/>
  <c r="F8" i="3"/>
  <c r="G15" i="3"/>
  <c r="H15" i="3"/>
  <c r="I22" i="3"/>
  <c r="G4" i="3"/>
  <c r="J19" i="3"/>
  <c r="K19" i="3" s="1"/>
  <c r="I3" i="3"/>
  <c r="G3" i="3"/>
  <c r="F3" i="3"/>
  <c r="H3" i="3"/>
  <c r="G21" i="3"/>
  <c r="H21" i="3"/>
  <c r="I21" i="3"/>
  <c r="F21" i="3"/>
  <c r="J18" i="3"/>
  <c r="K18" i="3" s="1"/>
  <c r="F26" i="3"/>
  <c r="H26" i="3"/>
  <c r="G26" i="3"/>
  <c r="I26" i="3"/>
  <c r="F13" i="3"/>
  <c r="H13" i="3"/>
  <c r="I13" i="3"/>
  <c r="G13" i="3"/>
  <c r="F25" i="3"/>
  <c r="H25" i="3"/>
  <c r="I25" i="3"/>
  <c r="G25" i="3"/>
  <c r="F27" i="3"/>
  <c r="H27" i="3"/>
  <c r="G27" i="3"/>
  <c r="I27" i="3"/>
  <c r="J12" i="3"/>
  <c r="K12" i="3" s="1"/>
  <c r="F14" i="3"/>
  <c r="H14" i="3"/>
  <c r="I14" i="3"/>
  <c r="G14" i="3"/>
  <c r="J30" i="3"/>
  <c r="K30" i="3" s="1"/>
  <c r="I5" i="3"/>
  <c r="F5" i="3"/>
  <c r="H5" i="3"/>
  <c r="G5" i="3"/>
  <c r="I17" i="3"/>
  <c r="G17" i="3"/>
  <c r="F17" i="3"/>
  <c r="H17" i="3"/>
  <c r="I29" i="3"/>
  <c r="F29" i="3"/>
  <c r="H29" i="3"/>
  <c r="G29" i="3"/>
  <c r="J16" i="3"/>
  <c r="K16" i="3" s="1"/>
  <c r="G9" i="3"/>
  <c r="F9" i="3"/>
  <c r="I9" i="3"/>
  <c r="H9" i="3"/>
  <c r="F2" i="3"/>
  <c r="G2" i="3"/>
  <c r="I2" i="3"/>
  <c r="H2" i="3"/>
  <c r="J7" i="3"/>
  <c r="K7" i="3" s="1"/>
  <c r="J10" i="3" l="1"/>
  <c r="K10" i="3" s="1"/>
  <c r="J4" i="3"/>
  <c r="K4" i="3" s="1"/>
  <c r="G11" i="3"/>
  <c r="J20" i="3"/>
  <c r="K20" i="3" s="1"/>
  <c r="J15" i="3"/>
  <c r="K15" i="3" s="1"/>
  <c r="J24" i="3"/>
  <c r="K24" i="3" s="1"/>
  <c r="F23" i="3"/>
  <c r="B36" i="3" s="1"/>
  <c r="E4" i="4" s="1"/>
  <c r="B35" i="3"/>
  <c r="D3" i="4" s="1"/>
  <c r="J22" i="3"/>
  <c r="K22" i="3" s="1"/>
  <c r="J21" i="3"/>
  <c r="K21" i="3" s="1"/>
  <c r="J8" i="3"/>
  <c r="K8" i="3" s="1"/>
  <c r="G23" i="3"/>
  <c r="B37" i="3" s="1"/>
  <c r="E5" i="4" s="1"/>
  <c r="H23" i="3"/>
  <c r="H11" i="3"/>
  <c r="I11" i="3"/>
  <c r="J27" i="3"/>
  <c r="K27" i="3" s="1"/>
  <c r="J14" i="3"/>
  <c r="K14" i="3" s="1"/>
  <c r="J26" i="3"/>
  <c r="K26" i="3" s="1"/>
  <c r="J5" i="3"/>
  <c r="K5" i="3" s="1"/>
  <c r="J13" i="3"/>
  <c r="K13" i="3" s="1"/>
  <c r="J3" i="3"/>
  <c r="K3" i="3" s="1"/>
  <c r="J9" i="3"/>
  <c r="K9" i="3" s="1"/>
  <c r="J29" i="3"/>
  <c r="K29" i="3" s="1"/>
  <c r="J2" i="3"/>
  <c r="J17" i="3"/>
  <c r="K17" i="3" s="1"/>
  <c r="J25" i="3"/>
  <c r="K25" i="3" s="1"/>
  <c r="B38" i="3" l="1"/>
  <c r="E6" i="4" s="1"/>
  <c r="J23" i="3"/>
  <c r="K23" i="3" s="1"/>
  <c r="J11" i="3"/>
  <c r="K11" i="3" s="1"/>
  <c r="K2" i="3"/>
  <c r="B40" i="3" l="1"/>
  <c r="E8" i="4" s="1"/>
  <c r="B39" i="3"/>
  <c r="E7" i="4" s="1"/>
</calcChain>
</file>

<file path=xl/sharedStrings.xml><?xml version="1.0" encoding="utf-8"?>
<sst xmlns="http://schemas.openxmlformats.org/spreadsheetml/2006/main" count="277" uniqueCount="189">
  <si>
    <t>Emp_ID</t>
  </si>
  <si>
    <t>Last_Name</t>
  </si>
  <si>
    <t>First_Name</t>
  </si>
  <si>
    <t>Department</t>
  </si>
  <si>
    <t>Pay_Type</t>
  </si>
  <si>
    <t>Hourly_Rate</t>
  </si>
  <si>
    <t>Annual_Salary</t>
  </si>
  <si>
    <t>Hire_Date</t>
  </si>
  <si>
    <t>E001</t>
  </si>
  <si>
    <t>Smith</t>
  </si>
  <si>
    <t>John</t>
  </si>
  <si>
    <t>Sales</t>
  </si>
  <si>
    <t>Hourly</t>
  </si>
  <si>
    <t>E002</t>
  </si>
  <si>
    <t>Johnson</t>
  </si>
  <si>
    <t>Sarah</t>
  </si>
  <si>
    <t>Service</t>
  </si>
  <si>
    <t>E003</t>
  </si>
  <si>
    <t>Williams</t>
  </si>
  <si>
    <t>Mike</t>
  </si>
  <si>
    <t>Parts</t>
  </si>
  <si>
    <t>E004</t>
  </si>
  <si>
    <t>Davis</t>
  </si>
  <si>
    <t>Emily</t>
  </si>
  <si>
    <t>E005</t>
  </si>
  <si>
    <t>Brown</t>
  </si>
  <si>
    <t>Robert</t>
  </si>
  <si>
    <t>Management</t>
  </si>
  <si>
    <t>Salary</t>
  </si>
  <si>
    <t>E006</t>
  </si>
  <si>
    <t>Garcia</t>
  </si>
  <si>
    <t>Maria</t>
  </si>
  <si>
    <t>E007</t>
  </si>
  <si>
    <t>Martinez</t>
  </si>
  <si>
    <t>Carlos</t>
  </si>
  <si>
    <t>E008</t>
  </si>
  <si>
    <t>Rodriguez</t>
  </si>
  <si>
    <t>Ana</t>
  </si>
  <si>
    <t>Finance</t>
  </si>
  <si>
    <t>E009</t>
  </si>
  <si>
    <t>Wilson</t>
  </si>
  <si>
    <t>James</t>
  </si>
  <si>
    <t>E010</t>
  </si>
  <si>
    <t>Lopez</t>
  </si>
  <si>
    <t>Sofia</t>
  </si>
  <si>
    <t>E011</t>
  </si>
  <si>
    <t>Lee</t>
  </si>
  <si>
    <t>Kevin</t>
  </si>
  <si>
    <t>E012</t>
  </si>
  <si>
    <t>Walker</t>
  </si>
  <si>
    <t>Lisa</t>
  </si>
  <si>
    <t>HR</t>
  </si>
  <si>
    <t>E013</t>
  </si>
  <si>
    <t>Hall</t>
  </si>
  <si>
    <t>David</t>
  </si>
  <si>
    <t>E014</t>
  </si>
  <si>
    <t>Allen</t>
  </si>
  <si>
    <t>Jessica</t>
  </si>
  <si>
    <t>E015</t>
  </si>
  <si>
    <t>Young</t>
  </si>
  <si>
    <t>Michael</t>
  </si>
  <si>
    <t>E016</t>
  </si>
  <si>
    <t>King</t>
  </si>
  <si>
    <t>Amanda</t>
  </si>
  <si>
    <t>E017</t>
  </si>
  <si>
    <t>Wright</t>
  </si>
  <si>
    <t>Daniel</t>
  </si>
  <si>
    <t>E018</t>
  </si>
  <si>
    <t>Scott</t>
  </si>
  <si>
    <t>Nicole</t>
  </si>
  <si>
    <t>E019</t>
  </si>
  <si>
    <t>Green</t>
  </si>
  <si>
    <t>Christopher</t>
  </si>
  <si>
    <t>E020</t>
  </si>
  <si>
    <t>Baker</t>
  </si>
  <si>
    <t>Michelle</t>
  </si>
  <si>
    <t>E021</t>
  </si>
  <si>
    <t>Nelson</t>
  </si>
  <si>
    <t>Ryan</t>
  </si>
  <si>
    <t>E022</t>
  </si>
  <si>
    <t>Carter</t>
  </si>
  <si>
    <t>Ashley</t>
  </si>
  <si>
    <t>E023</t>
  </si>
  <si>
    <t>Mitchell</t>
  </si>
  <si>
    <t>Brandon</t>
  </si>
  <si>
    <t>E024</t>
  </si>
  <si>
    <t>Perez</t>
  </si>
  <si>
    <t>Samantha</t>
  </si>
  <si>
    <t>E025</t>
  </si>
  <si>
    <t>Roberts</t>
  </si>
  <si>
    <t>Justin</t>
  </si>
  <si>
    <t>E026</t>
  </si>
  <si>
    <t>Turner</t>
  </si>
  <si>
    <t>Rachel</t>
  </si>
  <si>
    <t>E027</t>
  </si>
  <si>
    <t>Phillips</t>
  </si>
  <si>
    <t>Matthew</t>
  </si>
  <si>
    <t>E028</t>
  </si>
  <si>
    <t>Campbell</t>
  </si>
  <si>
    <t>Lauren</t>
  </si>
  <si>
    <t>E029</t>
  </si>
  <si>
    <t>Parker</t>
  </si>
  <si>
    <t>Andrew</t>
  </si>
  <si>
    <t>E030</t>
  </si>
  <si>
    <t>Evans</t>
  </si>
  <si>
    <t>Megan</t>
  </si>
  <si>
    <t>Week_Ending</t>
  </si>
  <si>
    <t>Regular_Hours</t>
  </si>
  <si>
    <t>Overtime_Hours</t>
  </si>
  <si>
    <t>Sick_Hours</t>
  </si>
  <si>
    <t>Vacation_Hours</t>
  </si>
  <si>
    <t>Total_Hours</t>
  </si>
  <si>
    <t>Employee_Name</t>
  </si>
  <si>
    <t>Regular_Pay</t>
  </si>
  <si>
    <t>Overtime_Pay</t>
  </si>
  <si>
    <t>Gross_Pay</t>
  </si>
  <si>
    <t>CPP</t>
  </si>
  <si>
    <t>EI</t>
  </si>
  <si>
    <t>Fed_Tax</t>
  </si>
  <si>
    <t>Prov_Tax</t>
  </si>
  <si>
    <t>Total_Deductions</t>
  </si>
  <si>
    <t>Net_Pay</t>
  </si>
  <si>
    <t>Description</t>
  </si>
  <si>
    <t>Amount</t>
  </si>
  <si>
    <t>Total Gross Pay</t>
  </si>
  <si>
    <t>Total CPP</t>
  </si>
  <si>
    <t>Total EI</t>
  </si>
  <si>
    <t>Total Income Tax</t>
  </si>
  <si>
    <t>Total Deductions</t>
  </si>
  <si>
    <t>Total Net Pay</t>
  </si>
  <si>
    <t>Payroll Summary for Journal Entry</t>
  </si>
  <si>
    <t>Date</t>
  </si>
  <si>
    <t>Account</t>
  </si>
  <si>
    <t>Account_Name</t>
  </si>
  <si>
    <t>Debit</t>
  </si>
  <si>
    <t>Credit</t>
  </si>
  <si>
    <t>Memo</t>
  </si>
  <si>
    <t>Wages Expense</t>
  </si>
  <si>
    <t>Payroll week ending 12/13/24</t>
  </si>
  <si>
    <t>CPP Payable</t>
  </si>
  <si>
    <t>Employee CPP withheld</t>
  </si>
  <si>
    <t>EI Payable</t>
  </si>
  <si>
    <t>Employee EI withheld</t>
  </si>
  <si>
    <t>Income Tax Payable</t>
  </si>
  <si>
    <t>Income tax withheld</t>
  </si>
  <si>
    <t>Cash - Payroll</t>
  </si>
  <si>
    <t>Net pay deposited</t>
  </si>
  <si>
    <t>Date: December 26, 2025</t>
  </si>
  <si>
    <t>1. Weekly Payroll Processing</t>
  </si>
  <si>
    <t>2. Accounts Receivable &amp; Aging</t>
  </si>
  <si>
    <t>3. Bank Reconciliation</t>
  </si>
  <si>
    <t>4. Credit Card Reconciliation</t>
  </si>
  <si>
    <t>5. Journal Entries &amp; Month-End Adjustments</t>
  </si>
  <si>
    <t>6. Tax Filing (HST / WSIB / EHT)</t>
  </si>
  <si>
    <t>7. Vehicle Sales (New &amp; Used)</t>
  </si>
  <si>
    <t>Bonus: Chart of Accounts</t>
  </si>
  <si>
    <t>Quick Summary / Key Figures</t>
  </si>
  <si>
    <t>Value</t>
  </si>
  <si>
    <t>Notes</t>
  </si>
  <si>
    <t>Total Sales Revenue (New + Used + Service + Parts)</t>
  </si>
  <si>
    <t>From trial balance (all revenue accounts)</t>
  </si>
  <si>
    <t>Total COGS</t>
  </si>
  <si>
    <t>Sum of COGS accounts</t>
  </si>
  <si>
    <t>Gross Profit (approx.)</t>
  </si>
  <si>
    <t>Revenue - COGS</t>
  </si>
  <si>
    <t>Total HST Payable (Q4 before payment)</t>
  </si>
  <si>
    <t>Opening + Net Q4</t>
  </si>
  <si>
    <t>Total Employees</t>
  </si>
  <si>
    <t>From payroll section</t>
  </si>
  <si>
    <t>Total Payroll Expense</t>
  </si>
  <si>
    <t>Salaries + Overtime</t>
  </si>
  <si>
    <t>Net HST Remitted (Q4)</t>
  </si>
  <si>
    <t>Full amount paid to CRA</t>
  </si>
  <si>
    <t>Instructions:</t>
  </si>
  <si>
    <t>• Click any section name above to jump directly to that sheet</t>
  </si>
  <si>
    <t>• All major sections are linked for easy navigation</t>
  </si>
  <si>
    <t>• Formulas are dynamic where possible – totals update automatically</t>
  </si>
  <si>
    <t>• Project covers full accounting cycle: Payroll → Sales → Reconciliations → Taxes → Reporting</t>
  </si>
  <si>
    <t>Credit Card Reconciliation and Journal Entries ^0 Month-End Adjustments.xlsx</t>
  </si>
  <si>
    <t>Payroll.xlsx</t>
  </si>
  <si>
    <t>AR and Journal Entry1.xlsx</t>
  </si>
  <si>
    <t>Bank Reconciliation.xlsx</t>
  </si>
  <si>
    <t>Trail balance and Tax Filing (HST^LLJ WSIB^LLJ EHT).xlsx</t>
  </si>
  <si>
    <t>Bonus – Chart of Accounts.xlsx</t>
  </si>
  <si>
    <t>Created by: Arjunkumar Kori</t>
  </si>
  <si>
    <t>Accounting  Project Dashboard</t>
  </si>
  <si>
    <t>Vehicle Sales (New ^0 Used).xlsx</t>
  </si>
  <si>
    <t xml:space="preserve">Main Sections </t>
  </si>
  <si>
    <t>Click to Jump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</si>
</sst>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7" tint="-0.24997711111789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7" tint="-0.249977111117893"/>
      <name val="Aptos Narrow"/>
      <family val="2"/>
      <scheme val="minor"/>
    </font>
    <font>
      <b/>
      <sz val="16"/>
      <color theme="7" tint="-0.249977111117893"/>
      <name val="Aptos Narrow"/>
      <family val="2"/>
      <scheme val="minor"/>
    </font>
    <font>
      <b/>
      <sz val="14"/>
      <color theme="7" tint="-0.249977111117893"/>
      <name val="Aptos Narrow"/>
      <family val="2"/>
      <scheme val="minor"/>
    </font>
    <font>
      <b/>
      <sz val="14"/>
      <color theme="1"/>
      <name val="Aptos Display"/>
      <family val="2"/>
      <scheme val="major"/>
    </font>
    <font>
      <b/>
      <sz val="14"/>
      <name val="Aptos Display"/>
      <family val="2"/>
      <scheme val="maj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9">
    <xf numFmtId="0" fontId="0" fillId="0" borderId="0" xfId="0"/>
    <xf numFmtId="14" fontId="0" fillId="0" borderId="0" xfId="0" applyNumberFormat="1"/>
    <xf numFmtId="4" fontId="0" fillId="0" borderId="0" xfId="0" applyNumberFormat="1"/>
    <xf numFmtId="44" fontId="0" fillId="0" borderId="0" xfId="1" applyFont="1"/>
    <xf numFmtId="44" fontId="0" fillId="0" borderId="0" xfId="0" applyNumberFormat="1"/>
    <xf numFmtId="44" fontId="2" fillId="0" borderId="0" xfId="1" applyFont="1"/>
    <xf numFmtId="0" fontId="2" fillId="0" borderId="0" xfId="0" applyFont="1"/>
    <xf numFmtId="0" fontId="2" fillId="0" borderId="0" xfId="0" applyFont="1" applyAlignment="1">
      <alignment horizontal="center"/>
    </xf>
    <xf numFmtId="44" fontId="3" fillId="0" borderId="0" xfId="0" applyNumberFormat="1" applyFont="1"/>
    <xf numFmtId="0" fontId="3" fillId="0" borderId="0" xfId="0" applyFont="1"/>
    <xf numFmtId="44" fontId="3" fillId="0" borderId="0" xfId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2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7" fillId="0" borderId="7" xfId="0" applyFont="1" applyBorder="1"/>
    <xf numFmtId="0" fontId="0" fillId="0" borderId="0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7" xfId="0" applyBorder="1"/>
    <xf numFmtId="0" fontId="2" fillId="0" borderId="7" xfId="0" applyFont="1" applyBorder="1"/>
    <xf numFmtId="0" fontId="5" fillId="0" borderId="8" xfId="2" applyFont="1" applyBorder="1" applyAlignment="1">
      <alignment horizontal="left" vertical="center"/>
    </xf>
    <xf numFmtId="4" fontId="0" fillId="0" borderId="0" xfId="0" applyNumberFormat="1" applyBorder="1"/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6" fillId="0" borderId="5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9" fillId="2" borderId="0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top"/>
    </xf>
    <xf numFmtId="0" fontId="10" fillId="0" borderId="0" xfId="0" applyFont="1" applyBorder="1" applyAlignment="1">
      <alignment horizontal="center" vertical="top"/>
    </xf>
    <xf numFmtId="0" fontId="10" fillId="0" borderId="8" xfId="0" applyFont="1" applyBorder="1" applyAlignment="1">
      <alignment horizontal="center" vertical="top"/>
    </xf>
  </cellXfs>
  <cellStyles count="3">
    <cellStyle name="Currency" xfId="1" builtinId="4"/>
    <cellStyle name="Hyperlink" xfId="2" builtinId="8"/>
    <cellStyle name="Normal" xfId="0" builtinId="0"/>
  </cellStyles>
  <dxfs count="17">
    <dxf>
      <numFmt numFmtId="4" formatCode="#,##0.00"/>
    </dxf>
    <dxf>
      <font>
        <strike val="0"/>
        <outline val="0"/>
        <shadow val="0"/>
        <u val="none"/>
        <vertAlign val="baseline"/>
        <sz val="11"/>
        <color theme="7" tint="-0.249977111117893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7" tint="-0.249977111117893"/>
        <name val="Aptos Narrow"/>
        <family val="2"/>
        <scheme val="minor"/>
      </font>
    </dxf>
    <dxf>
      <numFmt numFmtId="19" formatCode="yyyy/mm/dd"/>
    </dxf>
    <dxf>
      <numFmt numFmtId="34" formatCode="_-&quot;$&quot;* #,##0.00_-;\-&quot;$&quot;* #,##0.00_-;_-&quot;$&quot;* &quot;-&quot;??_-;_-@_-"/>
    </dxf>
    <dxf>
      <font>
        <strike val="0"/>
        <outline val="0"/>
        <shadow val="0"/>
        <u val="none"/>
        <vertAlign val="baseline"/>
        <sz val="11"/>
        <color theme="7" tint="-0.249977111117893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strike val="0"/>
        <outline val="0"/>
        <shadow val="0"/>
        <u val="none"/>
        <vertAlign val="baseline"/>
        <sz val="11"/>
        <color theme="7" tint="-0.249977111117893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strike val="0"/>
        <outline val="0"/>
        <shadow val="0"/>
        <u val="none"/>
        <vertAlign val="baseline"/>
        <sz val="11"/>
        <color theme="7" tint="-0.249977111117893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strike val="0"/>
        <outline val="0"/>
        <shadow val="0"/>
        <u val="none"/>
        <vertAlign val="baseline"/>
        <sz val="11"/>
        <color theme="7" tint="-0.249977111117893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strike val="0"/>
        <outline val="0"/>
        <shadow val="0"/>
        <u val="none"/>
        <vertAlign val="baseline"/>
        <sz val="11"/>
        <color theme="7" tint="-0.249977111117893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strike val="0"/>
        <outline val="0"/>
        <shadow val="0"/>
        <u val="none"/>
        <vertAlign val="baseline"/>
        <sz val="11"/>
        <color theme="7" tint="-0.249977111117893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strike val="0"/>
        <outline val="0"/>
        <shadow val="0"/>
        <u val="none"/>
        <vertAlign val="baseline"/>
        <sz val="11"/>
        <color theme="7" tint="-0.249977111117893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strike val="0"/>
        <outline val="0"/>
        <shadow val="0"/>
        <u val="none"/>
        <vertAlign val="baseline"/>
        <sz val="11"/>
        <color theme="7" tint="-0.249977111117893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strike val="0"/>
        <outline val="0"/>
        <shadow val="0"/>
        <u val="none"/>
        <vertAlign val="baseline"/>
        <sz val="11"/>
        <color theme="7" tint="-0.249977111117893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strike val="0"/>
        <outline val="0"/>
        <shadow val="0"/>
        <u val="none"/>
        <vertAlign val="baseline"/>
        <sz val="11"/>
        <color theme="7" tint="-0.249977111117893"/>
        <name val="Aptos Narrow"/>
        <family val="2"/>
        <scheme val="minor"/>
      </font>
    </dxf>
    <dxf>
      <numFmt numFmtId="19" formatCode="yyyy/mm/dd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6079DA8-95B6-431F-94C5-5D0E01035F36}" name="Table6" displayName="Table6" ref="A17:C24" totalsRowShown="0">
  <autoFilter ref="A17:C24" xr:uid="{16079DA8-95B6-431F-94C5-5D0E01035F36}">
    <filterColumn colId="0" hiddenButton="1"/>
    <filterColumn colId="1" hiddenButton="1"/>
    <filterColumn colId="2" hiddenButton="1"/>
  </autoFilter>
  <tableColumns count="3">
    <tableColumn id="1" xr3:uid="{A99225D1-2F52-4909-8D38-3E30BA991AB4}" name="Description"/>
    <tableColumn id="2" xr3:uid="{2DC0931C-F165-43D3-A8DC-72402C88AF15}" name="Value" dataDxfId="0"/>
    <tableColumn id="3" xr3:uid="{9FEE8905-0B58-440D-B42F-C58FD19DDF9B}" name="Notes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838406-D18C-4922-B070-2616175C8524}" name="tbl_Employees" displayName="tbl_Employees" ref="A1:H31" totalsRowShown="0">
  <autoFilter ref="A1:H31" xr:uid="{00838406-D18C-4922-B070-2616175C852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F3AD5D5-49AA-40AC-931C-DC7D1322B840}" name="Emp_ID"/>
    <tableColumn id="2" xr3:uid="{71F9CDEA-15C2-41B4-BB41-25EF0B04E7B4}" name="Last_Name"/>
    <tableColumn id="3" xr3:uid="{698E25FE-022E-4645-9713-16EC28E66597}" name="First_Name"/>
    <tableColumn id="4" xr3:uid="{8D71E943-CED6-4C37-B81D-6802E15D4C9A}" name="Department"/>
    <tableColumn id="5" xr3:uid="{7C43F257-60B2-4E41-AED8-3A13B553A72E}" name="Pay_Type"/>
    <tableColumn id="6" xr3:uid="{82556AA6-24C9-4CF1-9A3C-73AB74FD962E}" name="Hourly_Rate"/>
    <tableColumn id="7" xr3:uid="{F9083832-8155-4D4F-8C27-0716E917EF19}" name="Annual_Salary"/>
    <tableColumn id="8" xr3:uid="{CA14D18C-D65F-4962-BFE1-9673050285E6}" name="Hire_Date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F79AF4-0E5A-408F-9191-B2C02475EE3E}" name="tbl_Timesheet" displayName="tbl_Timesheet" ref="A1:G31" totalsRowShown="0">
  <autoFilter ref="A1:G31" xr:uid="{88F79AF4-0E5A-408F-9191-B2C02475EE3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FAE063CA-522D-4033-9247-1B0D44820E89}" name="Emp_ID"/>
    <tableColumn id="2" xr3:uid="{7B80BD97-1C14-47BC-920E-48D7079277D3}" name="Week_Ending" dataDxfId="15"/>
    <tableColumn id="3" xr3:uid="{97580895-F8F9-48B1-975E-71EFBE4CC52E}" name="Regular_Hours"/>
    <tableColumn id="4" xr3:uid="{D411AAD0-06C0-47ED-8833-3D963711C6F9}" name="Overtime_Hours"/>
    <tableColumn id="5" xr3:uid="{87BEE62E-5B6B-44ED-A361-C0D22A5D7F84}" name="Sick_Hours"/>
    <tableColumn id="6" xr3:uid="{99A9FCB6-4E7B-4DC6-9EE5-2B69329F6B70}" name="Vacation_Hours"/>
    <tableColumn id="7" xr3:uid="{8B18F5D1-CE3C-4C0A-8F6F-CAF6649B37D2}" name="Total_Hours" dataDxfId="14">
      <calculatedColumnFormula>SUM(tbl_Timesheet[[#This Row],[Regular_Hours]:[Vacation_Hours]])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472A59-08F0-43C7-911E-A19AB47FFA27}" name="Table3" displayName="Table3" ref="A1:K31" totalsRowShown="0">
  <autoFilter ref="A1:K31" xr:uid="{9D472A59-08F0-43C7-911E-A19AB47FFA2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3C5D8DDB-8781-4EA4-AC91-860FA5F095E4}" name="Emp_ID">
      <calculatedColumnFormula>tbl_Timesheet[[#This Row],[Emp_ID]]</calculatedColumnFormula>
    </tableColumn>
    <tableColumn id="2" xr3:uid="{55867574-5C20-4FB1-BD6A-2E84BD113306}" name="Employee_Name">
      <calculatedColumnFormula>VLOOKUP(A2,tbl_Employees[],3,FALSE)&amp;" "&amp;VLOOKUP(A2,tbl_Employees[],2,FALSE)</calculatedColumnFormula>
    </tableColumn>
    <tableColumn id="3" xr3:uid="{7D5B3E2E-F316-4822-9EEE-718C9E8B3423}" name="Regular_Pay" dataDxfId="13" dataCellStyle="Currency">
      <calculatedColumnFormula>IF(VLOOKUP(A2,tbl_Employees[],5,FALSE)="Hourly",
    VLOOKUP(A2,tbl_Employees[],6,FALSE)*VLOOKUP(A2,tbl_Timesheet[],3,FALSE),
    VLOOKUP(A2,tbl_Employees[],7,FALSE)/26)</calculatedColumnFormula>
    </tableColumn>
    <tableColumn id="4" xr3:uid="{15D71500-5D91-4F7C-8775-E5F3F85CA7B8}" name="Overtime_Pay" dataDxfId="12" dataCellStyle="Currency">
      <calculatedColumnFormula>IF(VLOOKUP(A2,tbl_Employees[],5,FALSE)="Hourly",
    VLOOKUP(A2,tbl_Employees[],6,FALSE)*1.5*VLOOKUP(A2,tbl_Timesheet[],4,FALSE),
    0)</calculatedColumnFormula>
    </tableColumn>
    <tableColumn id="5" xr3:uid="{5E62C8BD-9A2E-42DB-AE33-63DEED573597}" name="Gross_Pay" dataDxfId="11" dataCellStyle="Currency">
      <calculatedColumnFormula>C2+D2</calculatedColumnFormula>
    </tableColumn>
    <tableColumn id="6" xr3:uid="{A2D7CFC5-8CF0-44F8-9325-E2D9525AA300}" name="CPP" dataDxfId="10" dataCellStyle="Currency">
      <calculatedColumnFormula>MAX(0,MIN((E2-67.31)*0.0595,67.58))</calculatedColumnFormula>
    </tableColumn>
    <tableColumn id="7" xr3:uid="{B5720365-E647-4484-8E22-FE4756FD96E2}" name="EI" dataDxfId="9" dataCellStyle="Currency">
      <calculatedColumnFormula>MIN(E2*0.0166,20.19)</calculatedColumnFormula>
    </tableColumn>
    <tableColumn id="8" xr3:uid="{953CD155-9449-4394-8F80-3D9ABDE0D800}" name="Fed_Tax" dataDxfId="8" dataCellStyle="Currency">
      <calculatedColumnFormula>IF(E2&gt;735,E2*0.15,E2*0.05)</calculatedColumnFormula>
    </tableColumn>
    <tableColumn id="9" xr3:uid="{AAB353EB-C782-4DB3-95BE-6E2A2B3895EE}" name="Prov_Tax" dataDxfId="7" dataCellStyle="Currency">
      <calculatedColumnFormula>IF(E2&gt;735,E2*0.0505,E2*0.02)</calculatedColumnFormula>
    </tableColumn>
    <tableColumn id="10" xr3:uid="{019127A1-5392-46A4-BEB6-1EA5D7D00233}" name="Total_Deductions" dataDxfId="6" dataCellStyle="Currency">
      <calculatedColumnFormula>SUM(F2:I2)</calculatedColumnFormula>
    </tableColumn>
    <tableColumn id="11" xr3:uid="{37E40C36-BB8D-4969-A584-4FE84550CFE4}" name="Net_Pay" dataDxfId="5" dataCellStyle="Currency">
      <calculatedColumnFormula>E2-J2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BE9F7C-E47B-42B3-B550-2A50CE08D073}" name="Table4" displayName="Table4" ref="A34:B40" totalsRowShown="0">
  <autoFilter ref="A34:B40" xr:uid="{56BE9F7C-E47B-42B3-B550-2A50CE08D073}">
    <filterColumn colId="0" hiddenButton="1"/>
    <filterColumn colId="1" hiddenButton="1"/>
  </autoFilter>
  <tableColumns count="2">
    <tableColumn id="1" xr3:uid="{374E323C-311D-4905-B173-3B32B1B4F490}" name="Description"/>
    <tableColumn id="2" xr3:uid="{2D6583EB-5F61-4C46-8F0D-92475EE69FB9}" name="Amount" dataDxfId="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776F4C0-ED83-426E-8A49-A2A83491E670}" name="Table5" displayName="Table5" ref="A2:F8" totalsRowShown="0">
  <autoFilter ref="A2:F8" xr:uid="{C776F4C0-ED83-426E-8A49-A2A83491E67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43C2640-D333-476C-BAD7-3D86EB2CFE81}" name="Date" dataDxfId="3"/>
    <tableColumn id="2" xr3:uid="{53225894-8074-481A-BEEA-F0C96723C400}" name="Account"/>
    <tableColumn id="3" xr3:uid="{ACD7C4D4-6622-42ED-8C85-EB8CA349595C}" name="Account_Name"/>
    <tableColumn id="4" xr3:uid="{842D3C31-A652-49F1-AA7E-AAA7EE1DFF54}" name="Debit" dataDxfId="2"/>
    <tableColumn id="5" xr3:uid="{B51F3B53-1703-4660-8ED3-558615186CE4}" name="Credit" dataDxfId="1"/>
    <tableColumn id="6" xr3:uid="{5973E970-36F5-462F-8756-AEFF8CAB8804}" name="Mem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1drv.ms/x/c/f72173900fa0e546/IQDbebdURY8USa5731_5GrWPAYFQMq6ESVo45ikm8WPwlYM?e=MexmjK&amp;nav=MTVfezZEMUYwMUNDLTBDQTUtNEQzQi1BMDIyLUMyRkU4RDI5QTU5Qn0" TargetMode="External"/><Relationship Id="rId3" Type="http://schemas.openxmlformats.org/officeDocument/2006/relationships/hyperlink" Target="https://1drv.ms/x/c/f72173900fa0e546/IQC0u2DFaRQwRYHZcKrIO9yTAYkPBlsrQ39mQb9VQJvPtdE?e=cgiNB5&amp;nav=MTVfe0RFNDg5QjhGLTFDMzYtNDkwMS04NkM0LTM2RDZFNDdFODIxM30" TargetMode="External"/><Relationship Id="rId7" Type="http://schemas.openxmlformats.org/officeDocument/2006/relationships/hyperlink" Target="https://1drv.ms/x/c/f72173900fa0e546/IQBpXkRFllYnRaAfuidjfuCpAbjrn3T2HhIxAH4mfZPIgGA?e=vPg4Dm&amp;nav=MTVfe0Q5MDI2MzRBLTUwQjQtNDU5My1BODM3LTE2NUUxRDExNTk5Rn0" TargetMode="External"/><Relationship Id="rId2" Type="http://schemas.openxmlformats.org/officeDocument/2006/relationships/hyperlink" Target="https://1drv.ms/x/c/f72173900fa0e546/IQBhsdtEx0jhT4BxGWu-GHffAbtf45L3i1O_a1VZtpX9Gsw?e=w71k2H&amp;nav=MTVfe0YwQkExOTc4LTc3MTUtNDMwQy1BMzVDLUUwMkUwOEI4RENCMn0" TargetMode="External"/><Relationship Id="rId1" Type="http://schemas.openxmlformats.org/officeDocument/2006/relationships/hyperlink" Target="https://1drv.ms/x/c/f72173900fa0e546/IQBqfBOE_YXjTYI8WvoXRY6eAbZU0X4Sfe_U721_zlIsBQE?e=3cZX7m&amp;nav=MTVfe0ZBMDRCRjI4LUU3OUEtNDQ2Qi1BMEYxLTA4OUNFRUQ0MTgzQX0" TargetMode="External"/><Relationship Id="rId6" Type="http://schemas.openxmlformats.org/officeDocument/2006/relationships/hyperlink" Target="https://1drv.ms/x/c/f72173900fa0e546/IQDbebdURY8USa5731_5GrWPAYFQMq6ESVo45ikm8WPwlYM?e=MexmjK&amp;nav=MTVfezZEMUYwMUNDLTBDQTUtNEQzQi1BMDIyLUMyRkU4RDI5QTU5Qn0" TargetMode="External"/><Relationship Id="rId5" Type="http://schemas.openxmlformats.org/officeDocument/2006/relationships/hyperlink" Target="https://1drv.ms/x/c/f72173900fa0e546/IQALAgZeHNTbS6slHa8D-v4-AfqrcBynkWxY9O-ZZP-T75E?e=F9uCeM&amp;nav=MTVfezI3RDgwQjRGLTZDMzAtNDQ1NS1CRTc3LTYyMzI2QURENzhDMH0" TargetMode="External"/><Relationship Id="rId4" Type="http://schemas.openxmlformats.org/officeDocument/2006/relationships/hyperlink" Target="https://1drv.ms/x/c/f72173900fa0e546/IQDTS1jC6E0lTIdkyscBA-Z8ARIHp7wqwNCekkvAdsKSaHo?e=QsoNoz&amp;nav=MTVfezY4OEQ2NjlFLUI2RTItNDEwQS04NzhFLUY0NzQyQ0JFOENCM30" TargetMode="External"/><Relationship Id="rId9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4FBAE-019B-43DC-9F63-60D81BF2A361}">
  <dimension ref="A1:D31"/>
  <sheetViews>
    <sheetView showFormulas="1" showGridLines="0" tabSelected="1" zoomScale="91" zoomScaleNormal="91" workbookViewId="0">
      <selection activeCell="B23" sqref="B23"/>
    </sheetView>
  </sheetViews>
  <sheetFormatPr defaultRowHeight="14.4" x14ac:dyDescent="0.3"/>
  <cols>
    <col min="1" max="1" width="22.44140625" customWidth="1"/>
    <col min="2" max="2" width="13.77734375" customWidth="1"/>
    <col min="3" max="3" width="22.109375" customWidth="1"/>
  </cols>
  <sheetData>
    <row r="1" spans="1:4" x14ac:dyDescent="0.3">
      <c r="A1" s="14"/>
      <c r="B1" s="15"/>
      <c r="C1" s="16"/>
    </row>
    <row r="2" spans="1:4" ht="21" x14ac:dyDescent="0.4">
      <c r="A2" s="30" t="s">
        <v>185</v>
      </c>
      <c r="B2" s="31"/>
      <c r="C2" s="32"/>
    </row>
    <row r="3" spans="1:4" ht="18" x14ac:dyDescent="0.35">
      <c r="A3" s="17" t="s">
        <v>184</v>
      </c>
      <c r="B3" s="18"/>
      <c r="C3" s="19"/>
    </row>
    <row r="4" spans="1:4" ht="18" x14ac:dyDescent="0.35">
      <c r="A4" s="17" t="s">
        <v>147</v>
      </c>
      <c r="B4" s="18"/>
      <c r="C4" s="20"/>
      <c r="D4" s="11"/>
    </row>
    <row r="5" spans="1:4" x14ac:dyDescent="0.3">
      <c r="A5" s="21"/>
      <c r="B5" s="18"/>
      <c r="C5" s="19"/>
    </row>
    <row r="6" spans="1:4" ht="18" x14ac:dyDescent="0.35">
      <c r="A6" s="33" t="s">
        <v>187</v>
      </c>
      <c r="B6" s="34" t="s">
        <v>188</v>
      </c>
      <c r="C6" s="35"/>
    </row>
    <row r="7" spans="1:4" x14ac:dyDescent="0.3">
      <c r="A7" s="22" t="s">
        <v>148</v>
      </c>
      <c r="B7" s="13" t="s">
        <v>179</v>
      </c>
      <c r="C7" s="23"/>
      <c r="D7" s="11"/>
    </row>
    <row r="8" spans="1:4" x14ac:dyDescent="0.3">
      <c r="A8" s="22" t="s">
        <v>149</v>
      </c>
      <c r="B8" s="13" t="s">
        <v>180</v>
      </c>
      <c r="C8" s="23"/>
    </row>
    <row r="9" spans="1:4" x14ac:dyDescent="0.3">
      <c r="A9" s="22" t="s">
        <v>150</v>
      </c>
      <c r="B9" s="13" t="s">
        <v>181</v>
      </c>
      <c r="C9" s="23"/>
    </row>
    <row r="10" spans="1:4" x14ac:dyDescent="0.3">
      <c r="A10" s="22" t="s">
        <v>151</v>
      </c>
      <c r="B10" s="13" t="s">
        <v>178</v>
      </c>
      <c r="C10" s="23"/>
    </row>
    <row r="11" spans="1:4" x14ac:dyDescent="0.3">
      <c r="A11" s="22" t="s">
        <v>152</v>
      </c>
      <c r="B11" s="13" t="s">
        <v>178</v>
      </c>
      <c r="C11" s="23"/>
    </row>
    <row r="12" spans="1:4" x14ac:dyDescent="0.3">
      <c r="A12" s="22" t="s">
        <v>153</v>
      </c>
      <c r="B12" s="13" t="s">
        <v>182</v>
      </c>
      <c r="C12" s="23"/>
    </row>
    <row r="13" spans="1:4" x14ac:dyDescent="0.3">
      <c r="A13" s="22" t="s">
        <v>154</v>
      </c>
      <c r="B13" s="13" t="s">
        <v>186</v>
      </c>
      <c r="C13" s="23"/>
    </row>
    <row r="14" spans="1:4" x14ac:dyDescent="0.3">
      <c r="A14" s="22" t="s">
        <v>155</v>
      </c>
      <c r="B14" s="13" t="s">
        <v>183</v>
      </c>
      <c r="C14" s="23"/>
    </row>
    <row r="15" spans="1:4" x14ac:dyDescent="0.3">
      <c r="A15" s="21"/>
      <c r="B15" s="18"/>
      <c r="C15" s="19"/>
    </row>
    <row r="16" spans="1:4" s="7" customFormat="1" ht="15.6" x14ac:dyDescent="0.3">
      <c r="A16" s="36" t="s">
        <v>156</v>
      </c>
      <c r="B16" s="37"/>
      <c r="C16" s="38"/>
    </row>
    <row r="17" spans="1:3" x14ac:dyDescent="0.3">
      <c r="A17" s="21" t="s">
        <v>122</v>
      </c>
      <c r="B17" s="18" t="s">
        <v>157</v>
      </c>
      <c r="C17" s="19" t="s">
        <v>158</v>
      </c>
    </row>
    <row r="18" spans="1:3" x14ac:dyDescent="0.3">
      <c r="A18" s="21" t="s">
        <v>159</v>
      </c>
      <c r="B18" s="24">
        <v>221800</v>
      </c>
      <c r="C18" s="19" t="s">
        <v>160</v>
      </c>
    </row>
    <row r="19" spans="1:3" x14ac:dyDescent="0.3">
      <c r="A19" s="21" t="s">
        <v>161</v>
      </c>
      <c r="B19" s="24">
        <v>1183000</v>
      </c>
      <c r="C19" s="19" t="s">
        <v>162</v>
      </c>
    </row>
    <row r="20" spans="1:3" x14ac:dyDescent="0.3">
      <c r="A20" s="21" t="s">
        <v>163</v>
      </c>
      <c r="B20" s="24">
        <v>1035000</v>
      </c>
      <c r="C20" s="19" t="s">
        <v>164</v>
      </c>
    </row>
    <row r="21" spans="1:3" x14ac:dyDescent="0.3">
      <c r="A21" s="21" t="s">
        <v>165</v>
      </c>
      <c r="B21" s="24">
        <v>109103.8</v>
      </c>
      <c r="C21" s="19" t="s">
        <v>166</v>
      </c>
    </row>
    <row r="22" spans="1:3" x14ac:dyDescent="0.3">
      <c r="A22" s="21" t="s">
        <v>167</v>
      </c>
      <c r="B22" s="18">
        <v>30</v>
      </c>
      <c r="C22" s="19" t="s">
        <v>168</v>
      </c>
    </row>
    <row r="23" spans="1:3" x14ac:dyDescent="0.3">
      <c r="A23" s="21" t="s">
        <v>169</v>
      </c>
      <c r="B23" s="24">
        <v>293400</v>
      </c>
      <c r="C23" s="19" t="s">
        <v>170</v>
      </c>
    </row>
    <row r="24" spans="1:3" x14ac:dyDescent="0.3">
      <c r="A24" s="21" t="s">
        <v>171</v>
      </c>
      <c r="B24" s="24">
        <v>109103.8</v>
      </c>
      <c r="C24" s="19" t="s">
        <v>172</v>
      </c>
    </row>
    <row r="25" spans="1:3" x14ac:dyDescent="0.3">
      <c r="A25" s="21"/>
      <c r="B25" s="18"/>
      <c r="C25" s="19"/>
    </row>
    <row r="26" spans="1:3" x14ac:dyDescent="0.3">
      <c r="A26" s="22" t="s">
        <v>173</v>
      </c>
      <c r="B26" s="18"/>
      <c r="C26" s="19"/>
    </row>
    <row r="27" spans="1:3" x14ac:dyDescent="0.3">
      <c r="A27" s="25" t="s">
        <v>174</v>
      </c>
      <c r="B27" s="26"/>
      <c r="C27" s="19"/>
    </row>
    <row r="28" spans="1:3" x14ac:dyDescent="0.3">
      <c r="A28" s="25" t="s">
        <v>175</v>
      </c>
      <c r="B28" s="26"/>
      <c r="C28" s="19"/>
    </row>
    <row r="29" spans="1:3" x14ac:dyDescent="0.3">
      <c r="A29" s="25" t="s">
        <v>176</v>
      </c>
      <c r="B29" s="26"/>
      <c r="C29" s="19"/>
    </row>
    <row r="30" spans="1:3" x14ac:dyDescent="0.3">
      <c r="A30" s="25" t="s">
        <v>177</v>
      </c>
      <c r="B30" s="26"/>
      <c r="C30" s="19"/>
    </row>
    <row r="31" spans="1:3" ht="15" thickBot="1" x14ac:dyDescent="0.35">
      <c r="A31" s="27"/>
      <c r="B31" s="28"/>
      <c r="C31" s="29"/>
    </row>
  </sheetData>
  <mergeCells count="15">
    <mergeCell ref="B12:C12"/>
    <mergeCell ref="B6:C6"/>
    <mergeCell ref="A2:C2"/>
    <mergeCell ref="A27:B27"/>
    <mergeCell ref="A28:B28"/>
    <mergeCell ref="A29:B29"/>
    <mergeCell ref="A30:B30"/>
    <mergeCell ref="B7:C7"/>
    <mergeCell ref="B8:C8"/>
    <mergeCell ref="B9:C9"/>
    <mergeCell ref="B11:C11"/>
    <mergeCell ref="B10:C10"/>
    <mergeCell ref="B13:C13"/>
    <mergeCell ref="B14:C14"/>
    <mergeCell ref="A16:C16"/>
  </mergeCells>
  <hyperlinks>
    <hyperlink ref="B7" r:id="rId1" display="https://1drv.ms/x/c/f72173900fa0e546/IQBqfBOE_YXjTYI8WvoXRY6eAbZU0X4Sfe_U721_zlIsBQE?e=3cZX7m&amp;nav=MTVfe0ZBMDRCRjI4LUU3OUEtNDQ2Qi1BMEYxLTA4OUNFRUQ0MTgzQX0" xr:uid="{7425C567-8D7F-4844-8551-00651D9B3A59}"/>
    <hyperlink ref="B13" r:id="rId2" display="https://1drv.ms/x/c/f72173900fa0e546/IQBhsdtEx0jhT4BxGWu-GHffAbtf45L3i1O_a1VZtpX9Gsw?e=w71k2H&amp;nav=MTVfe0YwQkExOTc4LTc3MTUtNDMwQy1BMzVDLUUwMkUwOEI4RENCMn0" xr:uid="{38D7A09A-0829-4A06-AB01-4955B42341E8}"/>
    <hyperlink ref="B14" r:id="rId3" display="https://1drv.ms/x/c/f72173900fa0e546/IQC0u2DFaRQwRYHZcKrIO9yTAYkPBlsrQ39mQb9VQJvPtdE?e=cgiNB5&amp;nav=MTVfe0RFNDg5QjhGLTFDMzYtNDkwMS04NkM0LTM2RDZFNDdFODIxM30" xr:uid="{ADFC84BD-8FFB-41A7-BCE1-5F41B438F240}"/>
    <hyperlink ref="B12" r:id="rId4" display="https://1drv.ms/x/c/f72173900fa0e546/IQDTS1jC6E0lTIdkyscBA-Z8ARIHp7wqwNCekkvAdsKSaHo?e=QsoNoz&amp;nav=MTVfezY4OEQ2NjlFLUI2RTItNDEwQS04NzhFLUY0NzQyQ0JFOENCM30" xr:uid="{7ECA99AD-56CB-4827-8854-202610723338}"/>
    <hyperlink ref="B9" r:id="rId5" display="https://1drv.ms/x/c/f72173900fa0e546/IQALAgZeHNTbS6slHa8D-v4-AfqrcBynkWxY9O-ZZP-T75E?e=F9uCeM&amp;nav=MTVfezI3RDgwQjRGLTZDMzAtNDQ1NS1CRTc3LTYyMzI2QURENzhDMH0" xr:uid="{75FEDEA4-8DDC-4916-97F8-C730B6A80345}"/>
    <hyperlink ref="B11" r:id="rId6" display="https://1drv.ms/x/c/f72173900fa0e546/IQDbebdURY8USa5731_5GrWPAYFQMq6ESVo45ikm8WPwlYM?e=MexmjK&amp;nav=MTVfezZEMUYwMUNDLTBDQTUtNEQzQi1BMDIyLUMyRkU4RDI5QTU5Qn0" xr:uid="{0BFAC0C2-9DBC-4184-8D68-C11900D7A9A0}"/>
    <hyperlink ref="B8" r:id="rId7" display="https://1drv.ms/x/c/f72173900fa0e546/IQBpXkRFllYnRaAfuidjfuCpAbjrn3T2HhIxAH4mfZPIgGA?e=vPg4Dm&amp;nav=MTVfe0Q5MDI2MzRBLTUwQjQtNDU5My1BODM3LTE2NUUxRDExNTk5Rn0" xr:uid="{6E97E1A5-C4CF-4D43-B40A-20129836B81D}"/>
    <hyperlink ref="B10" r:id="rId8" display="https://1drv.ms/x/c/f72173900fa0e546/IQDbebdURY8USa5731_5GrWPAYFQMq6ESVo45ikm8WPwlYM?e=MexmjK&amp;nav=MTVfezZEMUYwMUNDLTBDQTUtNEQzQi1BMDIyLUMyRkU4RDI5QTU5Qn0" xr:uid="{047D447F-9BD9-4C52-B90D-CAF0408AA489}"/>
  </hyperlinks>
  <pageMargins left="0.7" right="0.7" top="0.75" bottom="0.75" header="0.3" footer="0.3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4BF28-E79A-446B-A0F1-089CEED4183A}">
  <dimension ref="A1:H31"/>
  <sheetViews>
    <sheetView zoomScaleNormal="100" workbookViewId="0">
      <selection activeCell="N11" sqref="N11"/>
    </sheetView>
  </sheetViews>
  <sheetFormatPr defaultRowHeight="14.4" x14ac:dyDescent="0.3"/>
  <cols>
    <col min="1" max="1" width="9.21875" customWidth="1"/>
    <col min="2" max="2" width="12.109375" customWidth="1"/>
    <col min="3" max="3" width="12.44140625" customWidth="1"/>
    <col min="4" max="4" width="12.88671875" customWidth="1"/>
    <col min="5" max="5" width="10.5546875" customWidth="1"/>
    <col min="6" max="6" width="12.88671875" customWidth="1"/>
    <col min="7" max="7" width="14.5546875" customWidth="1"/>
    <col min="8" max="8" width="11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25</v>
      </c>
      <c r="H2" s="1">
        <v>44635</v>
      </c>
    </row>
    <row r="3" spans="1:8" x14ac:dyDescent="0.3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22</v>
      </c>
      <c r="H3" s="1">
        <v>44367</v>
      </c>
    </row>
    <row r="4" spans="1:8" x14ac:dyDescent="0.3">
      <c r="A4" t="s">
        <v>17</v>
      </c>
      <c r="B4" t="s">
        <v>18</v>
      </c>
      <c r="C4" t="s">
        <v>19</v>
      </c>
      <c r="D4" t="s">
        <v>20</v>
      </c>
      <c r="E4" t="s">
        <v>12</v>
      </c>
      <c r="F4">
        <v>28</v>
      </c>
      <c r="H4" s="1">
        <v>43840</v>
      </c>
    </row>
    <row r="5" spans="1:8" x14ac:dyDescent="0.3">
      <c r="A5" t="s">
        <v>21</v>
      </c>
      <c r="B5" t="s">
        <v>22</v>
      </c>
      <c r="C5" t="s">
        <v>23</v>
      </c>
      <c r="D5" t="s">
        <v>11</v>
      </c>
      <c r="E5" t="s">
        <v>12</v>
      </c>
      <c r="F5">
        <v>30</v>
      </c>
      <c r="H5" s="1">
        <v>44971</v>
      </c>
    </row>
    <row r="6" spans="1:8" x14ac:dyDescent="0.3">
      <c r="A6" t="s">
        <v>24</v>
      </c>
      <c r="B6" t="s">
        <v>25</v>
      </c>
      <c r="C6" t="s">
        <v>26</v>
      </c>
      <c r="D6" t="s">
        <v>27</v>
      </c>
      <c r="E6" t="s">
        <v>28</v>
      </c>
      <c r="G6" s="2">
        <v>125000</v>
      </c>
      <c r="H6" s="1">
        <v>43586</v>
      </c>
    </row>
    <row r="7" spans="1:8" x14ac:dyDescent="0.3">
      <c r="A7" t="s">
        <v>29</v>
      </c>
      <c r="B7" t="s">
        <v>30</v>
      </c>
      <c r="C7" t="s">
        <v>31</v>
      </c>
      <c r="D7" t="s">
        <v>11</v>
      </c>
      <c r="E7" t="s">
        <v>12</v>
      </c>
      <c r="F7">
        <v>26.5</v>
      </c>
      <c r="H7" s="1">
        <v>44785</v>
      </c>
    </row>
    <row r="8" spans="1:8" x14ac:dyDescent="0.3">
      <c r="A8" t="s">
        <v>32</v>
      </c>
      <c r="B8" t="s">
        <v>33</v>
      </c>
      <c r="C8" t="s">
        <v>34</v>
      </c>
      <c r="D8" t="s">
        <v>16</v>
      </c>
      <c r="E8" t="s">
        <v>12</v>
      </c>
      <c r="F8">
        <v>24</v>
      </c>
      <c r="H8" s="1">
        <v>44503</v>
      </c>
    </row>
    <row r="9" spans="1:8" x14ac:dyDescent="0.3">
      <c r="A9" t="s">
        <v>35</v>
      </c>
      <c r="B9" t="s">
        <v>36</v>
      </c>
      <c r="C9" t="s">
        <v>37</v>
      </c>
      <c r="D9" t="s">
        <v>38</v>
      </c>
      <c r="E9" t="s">
        <v>28</v>
      </c>
      <c r="G9" s="2">
        <v>85000</v>
      </c>
      <c r="H9" s="1">
        <v>44027</v>
      </c>
    </row>
    <row r="10" spans="1:8" x14ac:dyDescent="0.3">
      <c r="A10" t="s">
        <v>39</v>
      </c>
      <c r="B10" t="s">
        <v>40</v>
      </c>
      <c r="C10" t="s">
        <v>41</v>
      </c>
      <c r="D10" t="s">
        <v>20</v>
      </c>
      <c r="E10" t="s">
        <v>12</v>
      </c>
      <c r="F10">
        <v>23.5</v>
      </c>
      <c r="H10" s="1">
        <v>44946</v>
      </c>
    </row>
    <row r="11" spans="1:8" x14ac:dyDescent="0.3">
      <c r="A11" t="s">
        <v>42</v>
      </c>
      <c r="B11" t="s">
        <v>43</v>
      </c>
      <c r="C11" t="s">
        <v>44</v>
      </c>
      <c r="D11" t="s">
        <v>11</v>
      </c>
      <c r="E11" t="s">
        <v>12</v>
      </c>
      <c r="F11">
        <v>27</v>
      </c>
      <c r="H11" s="1">
        <v>44669</v>
      </c>
    </row>
    <row r="12" spans="1:8" x14ac:dyDescent="0.3">
      <c r="A12" t="s">
        <v>45</v>
      </c>
      <c r="B12" t="s">
        <v>46</v>
      </c>
      <c r="C12" t="s">
        <v>47</v>
      </c>
      <c r="D12" t="s">
        <v>16</v>
      </c>
      <c r="E12" t="s">
        <v>12</v>
      </c>
      <c r="F12">
        <v>21.5</v>
      </c>
      <c r="H12" s="1">
        <v>45102</v>
      </c>
    </row>
    <row r="13" spans="1:8" x14ac:dyDescent="0.3">
      <c r="A13" t="s">
        <v>48</v>
      </c>
      <c r="B13" t="s">
        <v>49</v>
      </c>
      <c r="C13" t="s">
        <v>50</v>
      </c>
      <c r="D13" t="s">
        <v>51</v>
      </c>
      <c r="E13" t="s">
        <v>28</v>
      </c>
      <c r="G13" s="2">
        <v>75000</v>
      </c>
      <c r="H13" s="1">
        <v>44449</v>
      </c>
    </row>
    <row r="14" spans="1:8" x14ac:dyDescent="0.3">
      <c r="A14" t="s">
        <v>52</v>
      </c>
      <c r="B14" t="s">
        <v>53</v>
      </c>
      <c r="C14" t="s">
        <v>54</v>
      </c>
      <c r="D14" t="s">
        <v>11</v>
      </c>
      <c r="E14" t="s">
        <v>12</v>
      </c>
      <c r="F14">
        <v>29</v>
      </c>
      <c r="H14" s="1">
        <v>44170</v>
      </c>
    </row>
    <row r="15" spans="1:8" x14ac:dyDescent="0.3">
      <c r="A15" t="s">
        <v>55</v>
      </c>
      <c r="B15" t="s">
        <v>56</v>
      </c>
      <c r="C15" t="s">
        <v>57</v>
      </c>
      <c r="D15" t="s">
        <v>20</v>
      </c>
      <c r="E15" t="s">
        <v>12</v>
      </c>
      <c r="F15">
        <v>22.5</v>
      </c>
      <c r="H15" s="1">
        <v>44864</v>
      </c>
    </row>
    <row r="16" spans="1:8" x14ac:dyDescent="0.3">
      <c r="A16" t="s">
        <v>58</v>
      </c>
      <c r="B16" t="s">
        <v>59</v>
      </c>
      <c r="C16" t="s">
        <v>60</v>
      </c>
      <c r="D16" t="s">
        <v>16</v>
      </c>
      <c r="E16" t="s">
        <v>12</v>
      </c>
      <c r="F16">
        <v>25.5</v>
      </c>
      <c r="H16" s="1">
        <v>44277</v>
      </c>
    </row>
    <row r="17" spans="1:8" x14ac:dyDescent="0.3">
      <c r="A17" t="s">
        <v>61</v>
      </c>
      <c r="B17" t="s">
        <v>62</v>
      </c>
      <c r="C17" t="s">
        <v>63</v>
      </c>
      <c r="D17" t="s">
        <v>11</v>
      </c>
      <c r="E17" t="s">
        <v>12</v>
      </c>
      <c r="F17">
        <v>28.5</v>
      </c>
      <c r="H17" s="1">
        <v>45033</v>
      </c>
    </row>
    <row r="18" spans="1:8" x14ac:dyDescent="0.3">
      <c r="A18" t="s">
        <v>64</v>
      </c>
      <c r="B18" t="s">
        <v>65</v>
      </c>
      <c r="C18" t="s">
        <v>66</v>
      </c>
      <c r="D18" t="s">
        <v>38</v>
      </c>
      <c r="E18" t="s">
        <v>12</v>
      </c>
      <c r="F18">
        <v>32</v>
      </c>
      <c r="H18" s="1">
        <v>44051</v>
      </c>
    </row>
    <row r="19" spans="1:8" x14ac:dyDescent="0.3">
      <c r="A19" t="s">
        <v>67</v>
      </c>
      <c r="B19" t="s">
        <v>68</v>
      </c>
      <c r="C19" t="s">
        <v>69</v>
      </c>
      <c r="D19" t="s">
        <v>16</v>
      </c>
      <c r="E19" t="s">
        <v>12</v>
      </c>
      <c r="F19">
        <v>23</v>
      </c>
      <c r="H19" s="1">
        <v>44756</v>
      </c>
    </row>
    <row r="20" spans="1:8" x14ac:dyDescent="0.3">
      <c r="A20" t="s">
        <v>70</v>
      </c>
      <c r="B20" t="s">
        <v>71</v>
      </c>
      <c r="C20" t="s">
        <v>72</v>
      </c>
      <c r="D20" t="s">
        <v>20</v>
      </c>
      <c r="E20" t="s">
        <v>12</v>
      </c>
      <c r="F20">
        <v>24.5</v>
      </c>
      <c r="H20" s="1">
        <v>44531</v>
      </c>
    </row>
    <row r="21" spans="1:8" x14ac:dyDescent="0.3">
      <c r="A21" t="s">
        <v>73</v>
      </c>
      <c r="B21" t="s">
        <v>74</v>
      </c>
      <c r="C21" t="s">
        <v>75</v>
      </c>
      <c r="D21" t="s">
        <v>11</v>
      </c>
      <c r="E21" t="s">
        <v>12</v>
      </c>
      <c r="F21">
        <v>26</v>
      </c>
      <c r="H21" s="1">
        <v>45055</v>
      </c>
    </row>
    <row r="22" spans="1:8" x14ac:dyDescent="0.3">
      <c r="A22" t="s">
        <v>76</v>
      </c>
      <c r="B22" t="s">
        <v>77</v>
      </c>
      <c r="C22" t="s">
        <v>78</v>
      </c>
      <c r="D22" t="s">
        <v>27</v>
      </c>
      <c r="E22" t="s">
        <v>28</v>
      </c>
      <c r="G22" s="2">
        <v>95000</v>
      </c>
      <c r="H22" s="1">
        <v>43789</v>
      </c>
    </row>
    <row r="23" spans="1:8" x14ac:dyDescent="0.3">
      <c r="A23" t="s">
        <v>79</v>
      </c>
      <c r="B23" t="s">
        <v>80</v>
      </c>
      <c r="C23" t="s">
        <v>81</v>
      </c>
      <c r="D23" t="s">
        <v>16</v>
      </c>
      <c r="E23" t="s">
        <v>12</v>
      </c>
      <c r="F23">
        <v>22.5</v>
      </c>
      <c r="H23" s="1">
        <v>44620</v>
      </c>
    </row>
    <row r="24" spans="1:8" x14ac:dyDescent="0.3">
      <c r="A24" t="s">
        <v>82</v>
      </c>
      <c r="B24" t="s">
        <v>83</v>
      </c>
      <c r="C24" t="s">
        <v>84</v>
      </c>
      <c r="D24" t="s">
        <v>20</v>
      </c>
      <c r="E24" t="s">
        <v>12</v>
      </c>
      <c r="F24">
        <v>27.5</v>
      </c>
      <c r="H24" s="1">
        <v>44332</v>
      </c>
    </row>
    <row r="25" spans="1:8" x14ac:dyDescent="0.3">
      <c r="A25" t="s">
        <v>85</v>
      </c>
      <c r="B25" t="s">
        <v>86</v>
      </c>
      <c r="C25" t="s">
        <v>87</v>
      </c>
      <c r="D25" t="s">
        <v>11</v>
      </c>
      <c r="E25" t="s">
        <v>12</v>
      </c>
      <c r="F25">
        <v>25.5</v>
      </c>
      <c r="H25" s="1">
        <v>44992</v>
      </c>
    </row>
    <row r="26" spans="1:8" x14ac:dyDescent="0.3">
      <c r="A26" t="s">
        <v>88</v>
      </c>
      <c r="B26" t="s">
        <v>89</v>
      </c>
      <c r="C26" t="s">
        <v>90</v>
      </c>
      <c r="D26" t="s">
        <v>16</v>
      </c>
      <c r="E26" t="s">
        <v>12</v>
      </c>
      <c r="F26">
        <v>24</v>
      </c>
      <c r="H26" s="1">
        <v>44099</v>
      </c>
    </row>
    <row r="27" spans="1:8" x14ac:dyDescent="0.3">
      <c r="A27" t="s">
        <v>91</v>
      </c>
      <c r="B27" t="s">
        <v>92</v>
      </c>
      <c r="C27" t="s">
        <v>93</v>
      </c>
      <c r="D27" t="s">
        <v>38</v>
      </c>
      <c r="E27" t="s">
        <v>28</v>
      </c>
      <c r="G27" s="2">
        <v>80000</v>
      </c>
      <c r="H27" s="1">
        <v>44388</v>
      </c>
    </row>
    <row r="28" spans="1:8" x14ac:dyDescent="0.3">
      <c r="A28" t="s">
        <v>94</v>
      </c>
      <c r="B28" t="s">
        <v>95</v>
      </c>
      <c r="C28" t="s">
        <v>96</v>
      </c>
      <c r="D28" t="s">
        <v>11</v>
      </c>
      <c r="E28" t="s">
        <v>12</v>
      </c>
      <c r="F28">
        <v>29.5</v>
      </c>
      <c r="H28" s="1">
        <v>44884</v>
      </c>
    </row>
    <row r="29" spans="1:8" x14ac:dyDescent="0.3">
      <c r="A29" t="s">
        <v>97</v>
      </c>
      <c r="B29" t="s">
        <v>98</v>
      </c>
      <c r="C29" t="s">
        <v>99</v>
      </c>
      <c r="D29" t="s">
        <v>20</v>
      </c>
      <c r="E29" t="s">
        <v>12</v>
      </c>
      <c r="F29">
        <v>23.5</v>
      </c>
      <c r="H29" s="1">
        <v>45137</v>
      </c>
    </row>
    <row r="30" spans="1:8" x14ac:dyDescent="0.3">
      <c r="A30" t="s">
        <v>100</v>
      </c>
      <c r="B30" t="s">
        <v>101</v>
      </c>
      <c r="C30" t="s">
        <v>102</v>
      </c>
      <c r="D30" t="s">
        <v>16</v>
      </c>
      <c r="E30" t="s">
        <v>12</v>
      </c>
      <c r="F30">
        <v>26.5</v>
      </c>
      <c r="H30" s="1">
        <v>43934</v>
      </c>
    </row>
    <row r="31" spans="1:8" x14ac:dyDescent="0.3">
      <c r="A31" t="s">
        <v>103</v>
      </c>
      <c r="B31" t="s">
        <v>104</v>
      </c>
      <c r="C31" t="s">
        <v>105</v>
      </c>
      <c r="D31" t="s">
        <v>11</v>
      </c>
      <c r="E31" t="s">
        <v>12</v>
      </c>
      <c r="F31">
        <v>28</v>
      </c>
      <c r="H31" s="1">
        <v>44809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B4CD-9E47-4984-B2FE-1BB5F0CEAB4C}">
  <dimension ref="A1:G31"/>
  <sheetViews>
    <sheetView workbookViewId="0">
      <selection activeCell="G2" sqref="G2:G31"/>
    </sheetView>
  </sheetViews>
  <sheetFormatPr defaultRowHeight="14.4" x14ac:dyDescent="0.3"/>
  <cols>
    <col min="1" max="1" width="9.21875" customWidth="1"/>
    <col min="2" max="2" width="13.88671875" customWidth="1"/>
    <col min="3" max="3" width="14.77734375" customWidth="1"/>
    <col min="4" max="4" width="16.33203125" customWidth="1"/>
    <col min="5" max="5" width="12.21875" customWidth="1"/>
    <col min="6" max="6" width="15.88671875" customWidth="1"/>
    <col min="7" max="7" width="12.6640625" customWidth="1"/>
  </cols>
  <sheetData>
    <row r="1" spans="1:7" x14ac:dyDescent="0.3">
      <c r="A1" t="s">
        <v>0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</row>
    <row r="2" spans="1:7" x14ac:dyDescent="0.3">
      <c r="A2" t="s">
        <v>8</v>
      </c>
      <c r="B2" s="1">
        <v>45639</v>
      </c>
      <c r="C2">
        <v>40</v>
      </c>
      <c r="D2">
        <v>5</v>
      </c>
      <c r="E2">
        <v>0</v>
      </c>
      <c r="F2">
        <v>0</v>
      </c>
      <c r="G2" s="9">
        <f>SUM(tbl_Timesheet[[#This Row],[Regular_Hours]:[Vacation_Hours]])</f>
        <v>45</v>
      </c>
    </row>
    <row r="3" spans="1:7" x14ac:dyDescent="0.3">
      <c r="A3" t="s">
        <v>13</v>
      </c>
      <c r="B3" s="1">
        <v>45639</v>
      </c>
      <c r="C3">
        <v>40</v>
      </c>
      <c r="D3">
        <v>0</v>
      </c>
      <c r="E3">
        <v>0</v>
      </c>
      <c r="F3">
        <v>0</v>
      </c>
      <c r="G3" s="9">
        <f>SUM(tbl_Timesheet[[#This Row],[Regular_Hours]:[Vacation_Hours]])</f>
        <v>40</v>
      </c>
    </row>
    <row r="4" spans="1:7" x14ac:dyDescent="0.3">
      <c r="A4" t="s">
        <v>17</v>
      </c>
      <c r="B4" s="1">
        <v>45639</v>
      </c>
      <c r="C4">
        <v>37.5</v>
      </c>
      <c r="D4">
        <v>3</v>
      </c>
      <c r="E4">
        <v>0</v>
      </c>
      <c r="F4">
        <v>0</v>
      </c>
      <c r="G4" s="9">
        <f>SUM(tbl_Timesheet[[#This Row],[Regular_Hours]:[Vacation_Hours]])</f>
        <v>40.5</v>
      </c>
    </row>
    <row r="5" spans="1:7" x14ac:dyDescent="0.3">
      <c r="A5" t="s">
        <v>21</v>
      </c>
      <c r="B5" s="1">
        <v>45639</v>
      </c>
      <c r="C5">
        <v>40</v>
      </c>
      <c r="D5">
        <v>2</v>
      </c>
      <c r="E5">
        <v>0</v>
      </c>
      <c r="F5">
        <v>0</v>
      </c>
      <c r="G5" s="9">
        <f>SUM(tbl_Timesheet[[#This Row],[Regular_Hours]:[Vacation_Hours]])</f>
        <v>42</v>
      </c>
    </row>
    <row r="6" spans="1:7" x14ac:dyDescent="0.3">
      <c r="A6" t="s">
        <v>24</v>
      </c>
      <c r="B6" s="1">
        <v>45639</v>
      </c>
      <c r="C6">
        <v>40</v>
      </c>
      <c r="D6">
        <v>0</v>
      </c>
      <c r="E6">
        <v>0</v>
      </c>
      <c r="F6">
        <v>0</v>
      </c>
      <c r="G6" s="9">
        <f>SUM(tbl_Timesheet[[#This Row],[Regular_Hours]:[Vacation_Hours]])</f>
        <v>40</v>
      </c>
    </row>
    <row r="7" spans="1:7" x14ac:dyDescent="0.3">
      <c r="A7" t="s">
        <v>29</v>
      </c>
      <c r="B7" s="1">
        <v>45639</v>
      </c>
      <c r="C7">
        <v>40</v>
      </c>
      <c r="D7">
        <v>4</v>
      </c>
      <c r="E7">
        <v>0</v>
      </c>
      <c r="F7">
        <v>0</v>
      </c>
      <c r="G7" s="9">
        <f>SUM(tbl_Timesheet[[#This Row],[Regular_Hours]:[Vacation_Hours]])</f>
        <v>44</v>
      </c>
    </row>
    <row r="8" spans="1:7" x14ac:dyDescent="0.3">
      <c r="A8" t="s">
        <v>32</v>
      </c>
      <c r="B8" s="1">
        <v>45639</v>
      </c>
      <c r="C8">
        <v>40</v>
      </c>
      <c r="D8">
        <v>1.5</v>
      </c>
      <c r="E8">
        <v>0</v>
      </c>
      <c r="F8">
        <v>0</v>
      </c>
      <c r="G8" s="9">
        <f>SUM(tbl_Timesheet[[#This Row],[Regular_Hours]:[Vacation_Hours]])</f>
        <v>41.5</v>
      </c>
    </row>
    <row r="9" spans="1:7" x14ac:dyDescent="0.3">
      <c r="A9" t="s">
        <v>35</v>
      </c>
      <c r="B9" s="1">
        <v>45639</v>
      </c>
      <c r="C9">
        <v>40</v>
      </c>
      <c r="D9">
        <v>0</v>
      </c>
      <c r="E9">
        <v>0</v>
      </c>
      <c r="F9">
        <v>0</v>
      </c>
      <c r="G9" s="9">
        <f>SUM(tbl_Timesheet[[#This Row],[Regular_Hours]:[Vacation_Hours]])</f>
        <v>40</v>
      </c>
    </row>
    <row r="10" spans="1:7" x14ac:dyDescent="0.3">
      <c r="A10" t="s">
        <v>39</v>
      </c>
      <c r="B10" s="1">
        <v>45639</v>
      </c>
      <c r="C10">
        <v>38</v>
      </c>
      <c r="D10">
        <v>0</v>
      </c>
      <c r="E10">
        <v>0</v>
      </c>
      <c r="F10">
        <v>0</v>
      </c>
      <c r="G10" s="9">
        <f>SUM(tbl_Timesheet[[#This Row],[Regular_Hours]:[Vacation_Hours]])</f>
        <v>38</v>
      </c>
    </row>
    <row r="11" spans="1:7" x14ac:dyDescent="0.3">
      <c r="A11" t="s">
        <v>42</v>
      </c>
      <c r="B11" s="1">
        <v>45639</v>
      </c>
      <c r="C11">
        <v>40</v>
      </c>
      <c r="D11">
        <v>6</v>
      </c>
      <c r="E11">
        <v>0</v>
      </c>
      <c r="F11">
        <v>0</v>
      </c>
      <c r="G11" s="9">
        <f>SUM(tbl_Timesheet[[#This Row],[Regular_Hours]:[Vacation_Hours]])</f>
        <v>46</v>
      </c>
    </row>
    <row r="12" spans="1:7" x14ac:dyDescent="0.3">
      <c r="A12" t="s">
        <v>45</v>
      </c>
      <c r="B12" s="1">
        <v>45639</v>
      </c>
      <c r="C12">
        <v>40</v>
      </c>
      <c r="D12">
        <v>0</v>
      </c>
      <c r="E12">
        <v>0</v>
      </c>
      <c r="F12">
        <v>0</v>
      </c>
      <c r="G12" s="9">
        <f>SUM(tbl_Timesheet[[#This Row],[Regular_Hours]:[Vacation_Hours]])</f>
        <v>40</v>
      </c>
    </row>
    <row r="13" spans="1:7" x14ac:dyDescent="0.3">
      <c r="A13" t="s">
        <v>48</v>
      </c>
      <c r="B13" s="1">
        <v>45639</v>
      </c>
      <c r="C13">
        <v>40</v>
      </c>
      <c r="D13">
        <v>0</v>
      </c>
      <c r="E13">
        <v>0</v>
      </c>
      <c r="F13">
        <v>0</v>
      </c>
      <c r="G13" s="9">
        <f>SUM(tbl_Timesheet[[#This Row],[Regular_Hours]:[Vacation_Hours]])</f>
        <v>40</v>
      </c>
    </row>
    <row r="14" spans="1:7" x14ac:dyDescent="0.3">
      <c r="A14" t="s">
        <v>52</v>
      </c>
      <c r="B14" s="1">
        <v>45639</v>
      </c>
      <c r="C14">
        <v>40</v>
      </c>
      <c r="D14">
        <v>3.5</v>
      </c>
      <c r="E14">
        <v>0</v>
      </c>
      <c r="F14">
        <v>0</v>
      </c>
      <c r="G14" s="9">
        <f>SUM(tbl_Timesheet[[#This Row],[Regular_Hours]:[Vacation_Hours]])</f>
        <v>43.5</v>
      </c>
    </row>
    <row r="15" spans="1:7" x14ac:dyDescent="0.3">
      <c r="A15" t="s">
        <v>55</v>
      </c>
      <c r="B15" s="1">
        <v>45639</v>
      </c>
      <c r="C15">
        <v>35</v>
      </c>
      <c r="D15">
        <v>0</v>
      </c>
      <c r="E15">
        <v>8</v>
      </c>
      <c r="F15">
        <v>0</v>
      </c>
      <c r="G15" s="9">
        <f>SUM(tbl_Timesheet[[#This Row],[Regular_Hours]:[Vacation_Hours]])</f>
        <v>43</v>
      </c>
    </row>
    <row r="16" spans="1:7" x14ac:dyDescent="0.3">
      <c r="A16" t="s">
        <v>58</v>
      </c>
      <c r="B16" s="1">
        <v>45639</v>
      </c>
      <c r="C16">
        <v>40</v>
      </c>
      <c r="D16">
        <v>2</v>
      </c>
      <c r="E16">
        <v>0</v>
      </c>
      <c r="F16">
        <v>0</v>
      </c>
      <c r="G16" s="9">
        <f>SUM(tbl_Timesheet[[#This Row],[Regular_Hours]:[Vacation_Hours]])</f>
        <v>42</v>
      </c>
    </row>
    <row r="17" spans="1:7" x14ac:dyDescent="0.3">
      <c r="A17" t="s">
        <v>61</v>
      </c>
      <c r="B17" s="1">
        <v>45639</v>
      </c>
      <c r="C17">
        <v>40</v>
      </c>
      <c r="D17">
        <v>5.5</v>
      </c>
      <c r="E17">
        <v>0</v>
      </c>
      <c r="F17">
        <v>0</v>
      </c>
      <c r="G17" s="9">
        <f>SUM(tbl_Timesheet[[#This Row],[Regular_Hours]:[Vacation_Hours]])</f>
        <v>45.5</v>
      </c>
    </row>
    <row r="18" spans="1:7" x14ac:dyDescent="0.3">
      <c r="A18" t="s">
        <v>64</v>
      </c>
      <c r="B18" s="1">
        <v>45639</v>
      </c>
      <c r="C18">
        <v>40</v>
      </c>
      <c r="D18">
        <v>0</v>
      </c>
      <c r="E18">
        <v>0</v>
      </c>
      <c r="F18">
        <v>0</v>
      </c>
      <c r="G18" s="9">
        <f>SUM(tbl_Timesheet[[#This Row],[Regular_Hours]:[Vacation_Hours]])</f>
        <v>40</v>
      </c>
    </row>
    <row r="19" spans="1:7" x14ac:dyDescent="0.3">
      <c r="A19" t="s">
        <v>67</v>
      </c>
      <c r="B19" s="1">
        <v>45639</v>
      </c>
      <c r="C19">
        <v>32</v>
      </c>
      <c r="D19">
        <v>0</v>
      </c>
      <c r="E19">
        <v>0</v>
      </c>
      <c r="F19">
        <v>8</v>
      </c>
      <c r="G19" s="9">
        <f>SUM(tbl_Timesheet[[#This Row],[Regular_Hours]:[Vacation_Hours]])</f>
        <v>40</v>
      </c>
    </row>
    <row r="20" spans="1:7" x14ac:dyDescent="0.3">
      <c r="A20" t="s">
        <v>70</v>
      </c>
      <c r="B20" s="1">
        <v>45639</v>
      </c>
      <c r="C20">
        <v>40</v>
      </c>
      <c r="D20">
        <v>1</v>
      </c>
      <c r="E20">
        <v>0</v>
      </c>
      <c r="F20">
        <v>0</v>
      </c>
      <c r="G20" s="9">
        <f>SUM(tbl_Timesheet[[#This Row],[Regular_Hours]:[Vacation_Hours]])</f>
        <v>41</v>
      </c>
    </row>
    <row r="21" spans="1:7" x14ac:dyDescent="0.3">
      <c r="A21" t="s">
        <v>73</v>
      </c>
      <c r="B21" s="1">
        <v>45639</v>
      </c>
      <c r="C21">
        <v>40</v>
      </c>
      <c r="D21">
        <v>4.5</v>
      </c>
      <c r="E21">
        <v>0</v>
      </c>
      <c r="F21">
        <v>0</v>
      </c>
      <c r="G21" s="9">
        <f>SUM(tbl_Timesheet[[#This Row],[Regular_Hours]:[Vacation_Hours]])</f>
        <v>44.5</v>
      </c>
    </row>
    <row r="22" spans="1:7" x14ac:dyDescent="0.3">
      <c r="A22" t="s">
        <v>76</v>
      </c>
      <c r="B22" s="1">
        <v>45639</v>
      </c>
      <c r="C22">
        <v>40</v>
      </c>
      <c r="D22">
        <v>0</v>
      </c>
      <c r="E22">
        <v>0</v>
      </c>
      <c r="F22">
        <v>0</v>
      </c>
      <c r="G22" s="9">
        <f>SUM(tbl_Timesheet[[#This Row],[Regular_Hours]:[Vacation_Hours]])</f>
        <v>40</v>
      </c>
    </row>
    <row r="23" spans="1:7" x14ac:dyDescent="0.3">
      <c r="A23" t="s">
        <v>79</v>
      </c>
      <c r="B23" s="1">
        <v>45639</v>
      </c>
      <c r="C23">
        <v>40</v>
      </c>
      <c r="D23">
        <v>0</v>
      </c>
      <c r="E23">
        <v>0</v>
      </c>
      <c r="F23">
        <v>0</v>
      </c>
      <c r="G23" s="9">
        <f>SUM(tbl_Timesheet[[#This Row],[Regular_Hours]:[Vacation_Hours]])</f>
        <v>40</v>
      </c>
    </row>
    <row r="24" spans="1:7" x14ac:dyDescent="0.3">
      <c r="A24" t="s">
        <v>82</v>
      </c>
      <c r="B24" s="1">
        <v>45639</v>
      </c>
      <c r="C24">
        <v>40</v>
      </c>
      <c r="D24">
        <v>2.5</v>
      </c>
      <c r="E24">
        <v>0</v>
      </c>
      <c r="F24">
        <v>0</v>
      </c>
      <c r="G24" s="9">
        <f>SUM(tbl_Timesheet[[#This Row],[Regular_Hours]:[Vacation_Hours]])</f>
        <v>42.5</v>
      </c>
    </row>
    <row r="25" spans="1:7" x14ac:dyDescent="0.3">
      <c r="A25" t="s">
        <v>85</v>
      </c>
      <c r="B25" s="1">
        <v>45639</v>
      </c>
      <c r="C25">
        <v>40</v>
      </c>
      <c r="D25">
        <v>3</v>
      </c>
      <c r="E25">
        <v>0</v>
      </c>
      <c r="F25">
        <v>0</v>
      </c>
      <c r="G25" s="9">
        <f>SUM(tbl_Timesheet[[#This Row],[Regular_Hours]:[Vacation_Hours]])</f>
        <v>43</v>
      </c>
    </row>
    <row r="26" spans="1:7" x14ac:dyDescent="0.3">
      <c r="A26" t="s">
        <v>88</v>
      </c>
      <c r="B26" s="1">
        <v>45639</v>
      </c>
      <c r="C26">
        <v>38.5</v>
      </c>
      <c r="D26">
        <v>0</v>
      </c>
      <c r="E26">
        <v>0</v>
      </c>
      <c r="F26">
        <v>0</v>
      </c>
      <c r="G26" s="9">
        <f>SUM(tbl_Timesheet[[#This Row],[Regular_Hours]:[Vacation_Hours]])</f>
        <v>38.5</v>
      </c>
    </row>
    <row r="27" spans="1:7" x14ac:dyDescent="0.3">
      <c r="A27" t="s">
        <v>91</v>
      </c>
      <c r="B27" s="1">
        <v>45639</v>
      </c>
      <c r="C27">
        <v>40</v>
      </c>
      <c r="D27">
        <v>0</v>
      </c>
      <c r="E27">
        <v>0</v>
      </c>
      <c r="F27">
        <v>0</v>
      </c>
      <c r="G27" s="9">
        <f>SUM(tbl_Timesheet[[#This Row],[Regular_Hours]:[Vacation_Hours]])</f>
        <v>40</v>
      </c>
    </row>
    <row r="28" spans="1:7" x14ac:dyDescent="0.3">
      <c r="A28" t="s">
        <v>94</v>
      </c>
      <c r="B28" s="1">
        <v>45639</v>
      </c>
      <c r="C28">
        <v>40</v>
      </c>
      <c r="D28">
        <v>7</v>
      </c>
      <c r="E28">
        <v>0</v>
      </c>
      <c r="F28">
        <v>0</v>
      </c>
      <c r="G28" s="9">
        <f>SUM(tbl_Timesheet[[#This Row],[Regular_Hours]:[Vacation_Hours]])</f>
        <v>47</v>
      </c>
    </row>
    <row r="29" spans="1:7" x14ac:dyDescent="0.3">
      <c r="A29" t="s">
        <v>97</v>
      </c>
      <c r="B29" s="1">
        <v>45639</v>
      </c>
      <c r="C29">
        <v>36</v>
      </c>
      <c r="D29">
        <v>0</v>
      </c>
      <c r="E29">
        <v>0</v>
      </c>
      <c r="F29">
        <v>0</v>
      </c>
      <c r="G29" s="9">
        <f>SUM(tbl_Timesheet[[#This Row],[Regular_Hours]:[Vacation_Hours]])</f>
        <v>36</v>
      </c>
    </row>
    <row r="30" spans="1:7" x14ac:dyDescent="0.3">
      <c r="A30" t="s">
        <v>100</v>
      </c>
      <c r="B30" s="1">
        <v>45639</v>
      </c>
      <c r="C30">
        <v>40</v>
      </c>
      <c r="D30">
        <v>1.5</v>
      </c>
      <c r="E30">
        <v>0</v>
      </c>
      <c r="F30">
        <v>0</v>
      </c>
      <c r="G30" s="9">
        <f>SUM(tbl_Timesheet[[#This Row],[Regular_Hours]:[Vacation_Hours]])</f>
        <v>41.5</v>
      </c>
    </row>
    <row r="31" spans="1:7" x14ac:dyDescent="0.3">
      <c r="A31" t="s">
        <v>103</v>
      </c>
      <c r="B31" s="1">
        <v>45639</v>
      </c>
      <c r="C31">
        <v>40</v>
      </c>
      <c r="D31">
        <v>4</v>
      </c>
      <c r="E31">
        <v>0</v>
      </c>
      <c r="F31">
        <v>0</v>
      </c>
      <c r="G31" s="9">
        <f>SUM(tbl_Timesheet[[#This Row],[Regular_Hours]:[Vacation_Hours]])</f>
        <v>44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C62C2-F5F7-4BBC-A097-0977467AD3BA}">
  <dimension ref="A1:AR40"/>
  <sheetViews>
    <sheetView topLeftCell="A18" workbookViewId="0">
      <selection activeCell="B35" sqref="B35"/>
    </sheetView>
  </sheetViews>
  <sheetFormatPr defaultRowHeight="14.4" x14ac:dyDescent="0.3"/>
  <cols>
    <col min="1" max="1" width="12.5546875" customWidth="1"/>
    <col min="2" max="2" width="15.88671875" bestFit="1" customWidth="1"/>
    <col min="3" max="3" width="11.44140625" style="3" bestFit="1" customWidth="1"/>
    <col min="4" max="4" width="12" style="3" bestFit="1" customWidth="1"/>
    <col min="5" max="9" width="10.33203125" style="3" customWidth="1"/>
    <col min="10" max="10" width="14.88671875" style="3" bestFit="1" customWidth="1"/>
    <col min="11" max="11" width="11.33203125" style="3" customWidth="1"/>
    <col min="13" max="13" width="15.88671875" bestFit="1" customWidth="1"/>
    <col min="14" max="14" width="6.33203125" bestFit="1" customWidth="1"/>
    <col min="15" max="43" width="5" bestFit="1" customWidth="1"/>
    <col min="44" max="44" width="10.5546875" bestFit="1" customWidth="1"/>
  </cols>
  <sheetData>
    <row r="1" spans="1:11" x14ac:dyDescent="0.3">
      <c r="A1" t="s">
        <v>0</v>
      </c>
      <c r="B1" t="s">
        <v>112</v>
      </c>
      <c r="C1" s="3" t="s">
        <v>113</v>
      </c>
      <c r="D1" s="3" t="s">
        <v>114</v>
      </c>
      <c r="E1" s="3" t="s">
        <v>115</v>
      </c>
      <c r="F1" s="3" t="s">
        <v>116</v>
      </c>
      <c r="G1" s="3" t="s">
        <v>117</v>
      </c>
      <c r="H1" s="3" t="s">
        <v>118</v>
      </c>
      <c r="I1" s="3" t="s">
        <v>119</v>
      </c>
      <c r="J1" s="3" t="s">
        <v>120</v>
      </c>
      <c r="K1" s="3" t="s">
        <v>121</v>
      </c>
    </row>
    <row r="2" spans="1:11" x14ac:dyDescent="0.3">
      <c r="A2" t="str">
        <f>tbl_Timesheet[[#This Row],[Emp_ID]]</f>
        <v>E001</v>
      </c>
      <c r="B2" t="str">
        <f>VLOOKUP(A2,tbl_Employees[],3,FALSE)&amp;" "&amp;VLOOKUP(A2,tbl_Employees[],2,FALSE)</f>
        <v>John Smith</v>
      </c>
      <c r="C2" s="10">
        <f>IF(VLOOKUP(A2,tbl_Employees[],5,FALSE)="Hourly",
    VLOOKUP(A2,tbl_Employees[],6,FALSE)*VLOOKUP(A2,tbl_Timesheet[],3,FALSE),
    VLOOKUP(A2,tbl_Employees[],7,FALSE)/26)</f>
        <v>1000</v>
      </c>
      <c r="D2" s="10">
        <f>IF(VLOOKUP(A2,tbl_Employees[],5,FALSE)="Hourly",
    VLOOKUP(A2,tbl_Employees[],6,FALSE)*1.5*VLOOKUP(A2,tbl_Timesheet[],4,FALSE),
    0)</f>
        <v>187.5</v>
      </c>
      <c r="E2" s="10">
        <f>C2+D2</f>
        <v>1187.5</v>
      </c>
      <c r="F2" s="10">
        <f>MAX(0,MIN((E2-67.31)*0.0595,67.58))</f>
        <v>66.651304999999994</v>
      </c>
      <c r="G2" s="10">
        <f>MIN(E2*0.0166,20.19)</f>
        <v>19.712499999999999</v>
      </c>
      <c r="H2" s="10">
        <f>IF(E2&gt;735,E2*0.15,E2*0.05)</f>
        <v>178.125</v>
      </c>
      <c r="I2" s="10">
        <f>IF(E2&gt;735,E2*0.0505,E2*0.02)</f>
        <v>59.968750000000007</v>
      </c>
      <c r="J2" s="10">
        <f>SUM(F2:I2)</f>
        <v>324.45755499999996</v>
      </c>
      <c r="K2" s="10">
        <f>E2-J2</f>
        <v>863.04244500000004</v>
      </c>
    </row>
    <row r="3" spans="1:11" x14ac:dyDescent="0.3">
      <c r="A3" t="str">
        <f>tbl_Timesheet[[#This Row],[Emp_ID]]</f>
        <v>E002</v>
      </c>
      <c r="B3" t="str">
        <f>VLOOKUP(A3,tbl_Employees[],3,FALSE)&amp;" "&amp;VLOOKUP(A3,tbl_Employees[],2,FALSE)</f>
        <v>Sarah Johnson</v>
      </c>
      <c r="C3" s="10">
        <f>IF(VLOOKUP(A3,tbl_Employees[],5,FALSE)="Hourly",
    VLOOKUP(A3,tbl_Employees[],6,FALSE)*VLOOKUP(A3,tbl_Timesheet[],3,FALSE),
    VLOOKUP(A3,tbl_Employees[],7,FALSE)/26)</f>
        <v>880</v>
      </c>
      <c r="D3" s="10">
        <f>IF(VLOOKUP(A3,tbl_Employees[],5,FALSE)="Hourly",
    VLOOKUP(A3,tbl_Employees[],6,FALSE)*1.5*VLOOKUP(A3,tbl_Timesheet[],4,FALSE),
    0)</f>
        <v>0</v>
      </c>
      <c r="E3" s="10">
        <f t="shared" ref="E3:E31" si="0">C3+D3</f>
        <v>880</v>
      </c>
      <c r="F3" s="10">
        <f t="shared" ref="F3:F31" si="1">MAX(0,MIN((E3-67.31)*0.0595,67.58))</f>
        <v>48.355055</v>
      </c>
      <c r="G3" s="10">
        <f t="shared" ref="G3:G31" si="2">MIN(E3*0.0166,20.19)</f>
        <v>14.608000000000001</v>
      </c>
      <c r="H3" s="10">
        <f t="shared" ref="H3:H31" si="3">IF(E3&gt;735,E3*0.15,E3*0.05)</f>
        <v>132</v>
      </c>
      <c r="I3" s="10">
        <f t="shared" ref="I3:I31" si="4">IF(E3&gt;735,E3*0.0505,E3*0.02)</f>
        <v>44.440000000000005</v>
      </c>
      <c r="J3" s="10">
        <f t="shared" ref="J3:J31" si="5">SUM(F3:I3)</f>
        <v>239.40305499999999</v>
      </c>
      <c r="K3" s="10">
        <f t="shared" ref="K3:K31" si="6">E3-J3</f>
        <v>640.59694500000001</v>
      </c>
    </row>
    <row r="4" spans="1:11" x14ac:dyDescent="0.3">
      <c r="A4" t="str">
        <f>tbl_Timesheet[[#This Row],[Emp_ID]]</f>
        <v>E003</v>
      </c>
      <c r="B4" t="str">
        <f>VLOOKUP(A4,tbl_Employees[],3,FALSE)&amp;" "&amp;VLOOKUP(A4,tbl_Employees[],2,FALSE)</f>
        <v>Mike Williams</v>
      </c>
      <c r="C4" s="10">
        <f>IF(VLOOKUP(A4,tbl_Employees[],5,FALSE)="Hourly",
    VLOOKUP(A4,tbl_Employees[],6,FALSE)*VLOOKUP(A4,tbl_Timesheet[],3,FALSE),
    VLOOKUP(A4,tbl_Employees[],7,FALSE)/26)</f>
        <v>1050</v>
      </c>
      <c r="D4" s="10">
        <f>IF(VLOOKUP(A4,tbl_Employees[],5,FALSE)="Hourly",
    VLOOKUP(A4,tbl_Employees[],6,FALSE)*1.5*VLOOKUP(A4,tbl_Timesheet[],4,FALSE),
    0)</f>
        <v>126</v>
      </c>
      <c r="E4" s="10">
        <f t="shared" si="0"/>
        <v>1176</v>
      </c>
      <c r="F4" s="10">
        <f t="shared" si="1"/>
        <v>65.967055000000002</v>
      </c>
      <c r="G4" s="10">
        <f t="shared" si="2"/>
        <v>19.521599999999999</v>
      </c>
      <c r="H4" s="10">
        <f t="shared" si="3"/>
        <v>176.4</v>
      </c>
      <c r="I4" s="10">
        <f t="shared" si="4"/>
        <v>59.388000000000005</v>
      </c>
      <c r="J4" s="10">
        <f t="shared" si="5"/>
        <v>321.27665500000001</v>
      </c>
      <c r="K4" s="10">
        <f t="shared" si="6"/>
        <v>854.72334499999999</v>
      </c>
    </row>
    <row r="5" spans="1:11" x14ac:dyDescent="0.3">
      <c r="A5" t="str">
        <f>tbl_Timesheet[[#This Row],[Emp_ID]]</f>
        <v>E004</v>
      </c>
      <c r="B5" t="str">
        <f>VLOOKUP(A5,tbl_Employees[],3,FALSE)&amp;" "&amp;VLOOKUP(A5,tbl_Employees[],2,FALSE)</f>
        <v>Emily Davis</v>
      </c>
      <c r="C5" s="10">
        <f>IF(VLOOKUP(A5,tbl_Employees[],5,FALSE)="Hourly",
    VLOOKUP(A5,tbl_Employees[],6,FALSE)*VLOOKUP(A5,tbl_Timesheet[],3,FALSE),
    VLOOKUP(A5,tbl_Employees[],7,FALSE)/26)</f>
        <v>1200</v>
      </c>
      <c r="D5" s="10">
        <f>IF(VLOOKUP(A5,tbl_Employees[],5,FALSE)="Hourly",
    VLOOKUP(A5,tbl_Employees[],6,FALSE)*1.5*VLOOKUP(A5,tbl_Timesheet[],4,FALSE),
    0)</f>
        <v>90</v>
      </c>
      <c r="E5" s="10">
        <f t="shared" si="0"/>
        <v>1290</v>
      </c>
      <c r="F5" s="10">
        <f t="shared" si="1"/>
        <v>67.58</v>
      </c>
      <c r="G5" s="10">
        <f t="shared" si="2"/>
        <v>20.190000000000001</v>
      </c>
      <c r="H5" s="10">
        <f t="shared" si="3"/>
        <v>193.5</v>
      </c>
      <c r="I5" s="10">
        <f t="shared" si="4"/>
        <v>65.14500000000001</v>
      </c>
      <c r="J5" s="10">
        <f t="shared" si="5"/>
        <v>346.41499999999996</v>
      </c>
      <c r="K5" s="10">
        <f t="shared" si="6"/>
        <v>943.58500000000004</v>
      </c>
    </row>
    <row r="6" spans="1:11" x14ac:dyDescent="0.3">
      <c r="A6" t="str">
        <f>tbl_Timesheet[[#This Row],[Emp_ID]]</f>
        <v>E005</v>
      </c>
      <c r="B6" t="str">
        <f>VLOOKUP(A6,tbl_Employees[],3,FALSE)&amp;" "&amp;VLOOKUP(A6,tbl_Employees[],2,FALSE)</f>
        <v>Robert Brown</v>
      </c>
      <c r="C6" s="10">
        <f>IF(VLOOKUP(A6,tbl_Employees[],5,FALSE)="Hourly",
    VLOOKUP(A6,tbl_Employees[],6,FALSE)*VLOOKUP(A6,tbl_Timesheet[],3,FALSE),
    VLOOKUP(A6,tbl_Employees[],7,FALSE)/26)</f>
        <v>4807.6923076923076</v>
      </c>
      <c r="D6" s="10">
        <f>IF(VLOOKUP(A6,tbl_Employees[],5,FALSE)="Hourly",
    VLOOKUP(A6,tbl_Employees[],6,FALSE)*1.5*VLOOKUP(A6,tbl_Timesheet[],4,FALSE),
    0)</f>
        <v>0</v>
      </c>
      <c r="E6" s="10">
        <f t="shared" si="0"/>
        <v>4807.6923076923076</v>
      </c>
      <c r="F6" s="10">
        <f t="shared" si="1"/>
        <v>67.58</v>
      </c>
      <c r="G6" s="10">
        <f t="shared" si="2"/>
        <v>20.190000000000001</v>
      </c>
      <c r="H6" s="10">
        <f t="shared" si="3"/>
        <v>721.15384615384608</v>
      </c>
      <c r="I6" s="10">
        <f t="shared" si="4"/>
        <v>242.78846153846155</v>
      </c>
      <c r="J6" s="10">
        <f t="shared" si="5"/>
        <v>1051.7123076923076</v>
      </c>
      <c r="K6" s="10">
        <f t="shared" si="6"/>
        <v>3755.98</v>
      </c>
    </row>
    <row r="7" spans="1:11" x14ac:dyDescent="0.3">
      <c r="A7" t="str">
        <f>tbl_Timesheet[[#This Row],[Emp_ID]]</f>
        <v>E006</v>
      </c>
      <c r="B7" t="str">
        <f>VLOOKUP(A7,tbl_Employees[],3,FALSE)&amp;" "&amp;VLOOKUP(A7,tbl_Employees[],2,FALSE)</f>
        <v>Maria Garcia</v>
      </c>
      <c r="C7" s="10">
        <f>IF(VLOOKUP(A7,tbl_Employees[],5,FALSE)="Hourly",
    VLOOKUP(A7,tbl_Employees[],6,FALSE)*VLOOKUP(A7,tbl_Timesheet[],3,FALSE),
    VLOOKUP(A7,tbl_Employees[],7,FALSE)/26)</f>
        <v>1060</v>
      </c>
      <c r="D7" s="10">
        <f>IF(VLOOKUP(A7,tbl_Employees[],5,FALSE)="Hourly",
    VLOOKUP(A7,tbl_Employees[],6,FALSE)*1.5*VLOOKUP(A7,tbl_Timesheet[],4,FALSE),
    0)</f>
        <v>159</v>
      </c>
      <c r="E7" s="10">
        <f t="shared" si="0"/>
        <v>1219</v>
      </c>
      <c r="F7" s="10">
        <f t="shared" si="1"/>
        <v>67.58</v>
      </c>
      <c r="G7" s="10">
        <f t="shared" si="2"/>
        <v>20.190000000000001</v>
      </c>
      <c r="H7" s="10">
        <f t="shared" si="3"/>
        <v>182.85</v>
      </c>
      <c r="I7" s="10">
        <f t="shared" si="4"/>
        <v>61.559500000000007</v>
      </c>
      <c r="J7" s="10">
        <f t="shared" si="5"/>
        <v>332.17950000000002</v>
      </c>
      <c r="K7" s="10">
        <f t="shared" si="6"/>
        <v>886.82050000000004</v>
      </c>
    </row>
    <row r="8" spans="1:11" x14ac:dyDescent="0.3">
      <c r="A8" t="str">
        <f>tbl_Timesheet[[#This Row],[Emp_ID]]</f>
        <v>E007</v>
      </c>
      <c r="B8" t="str">
        <f>VLOOKUP(A8,tbl_Employees[],3,FALSE)&amp;" "&amp;VLOOKUP(A8,tbl_Employees[],2,FALSE)</f>
        <v>Carlos Martinez</v>
      </c>
      <c r="C8" s="10">
        <f>IF(VLOOKUP(A8,tbl_Employees[],5,FALSE)="Hourly",
    VLOOKUP(A8,tbl_Employees[],6,FALSE)*VLOOKUP(A8,tbl_Timesheet[],3,FALSE),
    VLOOKUP(A8,tbl_Employees[],7,FALSE)/26)</f>
        <v>960</v>
      </c>
      <c r="D8" s="10">
        <f>IF(VLOOKUP(A8,tbl_Employees[],5,FALSE)="Hourly",
    VLOOKUP(A8,tbl_Employees[],6,FALSE)*1.5*VLOOKUP(A8,tbl_Timesheet[],4,FALSE),
    0)</f>
        <v>54</v>
      </c>
      <c r="E8" s="10">
        <f t="shared" si="0"/>
        <v>1014</v>
      </c>
      <c r="F8" s="10">
        <f t="shared" si="1"/>
        <v>56.328054999999999</v>
      </c>
      <c r="G8" s="10">
        <f t="shared" si="2"/>
        <v>16.8324</v>
      </c>
      <c r="H8" s="10">
        <f t="shared" si="3"/>
        <v>152.1</v>
      </c>
      <c r="I8" s="10">
        <f t="shared" si="4"/>
        <v>51.207000000000001</v>
      </c>
      <c r="J8" s="10">
        <f t="shared" si="5"/>
        <v>276.46745499999997</v>
      </c>
      <c r="K8" s="10">
        <f t="shared" si="6"/>
        <v>737.53254500000003</v>
      </c>
    </row>
    <row r="9" spans="1:11" x14ac:dyDescent="0.3">
      <c r="A9" t="str">
        <f>tbl_Timesheet[[#This Row],[Emp_ID]]</f>
        <v>E008</v>
      </c>
      <c r="B9" t="str">
        <f>VLOOKUP(A9,tbl_Employees[],3,FALSE)&amp;" "&amp;VLOOKUP(A9,tbl_Employees[],2,FALSE)</f>
        <v>Ana Rodriguez</v>
      </c>
      <c r="C9" s="10">
        <f>IF(VLOOKUP(A9,tbl_Employees[],5,FALSE)="Hourly",
    VLOOKUP(A9,tbl_Employees[],6,FALSE)*VLOOKUP(A9,tbl_Timesheet[],3,FALSE),
    VLOOKUP(A9,tbl_Employees[],7,FALSE)/26)</f>
        <v>3269.2307692307691</v>
      </c>
      <c r="D9" s="10">
        <f>IF(VLOOKUP(A9,tbl_Employees[],5,FALSE)="Hourly",
    VLOOKUP(A9,tbl_Employees[],6,FALSE)*1.5*VLOOKUP(A9,tbl_Timesheet[],4,FALSE),
    0)</f>
        <v>0</v>
      </c>
      <c r="E9" s="10">
        <f t="shared" si="0"/>
        <v>3269.2307692307691</v>
      </c>
      <c r="F9" s="10">
        <f t="shared" si="1"/>
        <v>67.58</v>
      </c>
      <c r="G9" s="10">
        <f t="shared" si="2"/>
        <v>20.190000000000001</v>
      </c>
      <c r="H9" s="10">
        <f t="shared" si="3"/>
        <v>490.38461538461536</v>
      </c>
      <c r="I9" s="10">
        <f t="shared" si="4"/>
        <v>165.09615384615384</v>
      </c>
      <c r="J9" s="10">
        <f t="shared" si="5"/>
        <v>743.25076923076915</v>
      </c>
      <c r="K9" s="10">
        <f t="shared" si="6"/>
        <v>2525.98</v>
      </c>
    </row>
    <row r="10" spans="1:11" x14ac:dyDescent="0.3">
      <c r="A10" t="str">
        <f>tbl_Timesheet[[#This Row],[Emp_ID]]</f>
        <v>E009</v>
      </c>
      <c r="B10" t="str">
        <f>VLOOKUP(A10,tbl_Employees[],3,FALSE)&amp;" "&amp;VLOOKUP(A10,tbl_Employees[],2,FALSE)</f>
        <v>James Wilson</v>
      </c>
      <c r="C10" s="10">
        <f>IF(VLOOKUP(A10,tbl_Employees[],5,FALSE)="Hourly",
    VLOOKUP(A10,tbl_Employees[],6,FALSE)*VLOOKUP(A10,tbl_Timesheet[],3,FALSE),
    VLOOKUP(A10,tbl_Employees[],7,FALSE)/26)</f>
        <v>893</v>
      </c>
      <c r="D10" s="10">
        <f>IF(VLOOKUP(A10,tbl_Employees[],5,FALSE)="Hourly",
    VLOOKUP(A10,tbl_Employees[],6,FALSE)*1.5*VLOOKUP(A10,tbl_Timesheet[],4,FALSE),
    0)</f>
        <v>0</v>
      </c>
      <c r="E10" s="10">
        <f t="shared" si="0"/>
        <v>893</v>
      </c>
      <c r="F10" s="10">
        <f t="shared" si="1"/>
        <v>49.128554999999999</v>
      </c>
      <c r="G10" s="10">
        <f t="shared" si="2"/>
        <v>14.8238</v>
      </c>
      <c r="H10" s="10">
        <f t="shared" si="3"/>
        <v>133.94999999999999</v>
      </c>
      <c r="I10" s="10">
        <f t="shared" si="4"/>
        <v>45.096500000000006</v>
      </c>
      <c r="J10" s="10">
        <f t="shared" si="5"/>
        <v>242.99885499999999</v>
      </c>
      <c r="K10" s="10">
        <f t="shared" si="6"/>
        <v>650.00114499999995</v>
      </c>
    </row>
    <row r="11" spans="1:11" x14ac:dyDescent="0.3">
      <c r="A11" t="str">
        <f>tbl_Timesheet[[#This Row],[Emp_ID]]</f>
        <v>E010</v>
      </c>
      <c r="B11" t="str">
        <f>VLOOKUP(A11,tbl_Employees[],3,FALSE)&amp;" "&amp;VLOOKUP(A11,tbl_Employees[],2,FALSE)</f>
        <v>Sofia Lopez</v>
      </c>
      <c r="C11" s="10">
        <f>IF(VLOOKUP(A11,tbl_Employees[],5,FALSE)="Hourly",
    VLOOKUP(A11,tbl_Employees[],6,FALSE)*VLOOKUP(A11,tbl_Timesheet[],3,FALSE),
    VLOOKUP(A11,tbl_Employees[],7,FALSE)/26)</f>
        <v>1080</v>
      </c>
      <c r="D11" s="10">
        <f>IF(VLOOKUP(A11,tbl_Employees[],5,FALSE)="Hourly",
    VLOOKUP(A11,tbl_Employees[],6,FALSE)*1.5*VLOOKUP(A11,tbl_Timesheet[],4,FALSE),
    0)</f>
        <v>243</v>
      </c>
      <c r="E11" s="10">
        <f t="shared" si="0"/>
        <v>1323</v>
      </c>
      <c r="F11" s="10">
        <f t="shared" si="1"/>
        <v>67.58</v>
      </c>
      <c r="G11" s="10">
        <f t="shared" si="2"/>
        <v>20.190000000000001</v>
      </c>
      <c r="H11" s="10">
        <f t="shared" si="3"/>
        <v>198.45</v>
      </c>
      <c r="I11" s="10">
        <f t="shared" si="4"/>
        <v>66.811500000000009</v>
      </c>
      <c r="J11" s="10">
        <f t="shared" si="5"/>
        <v>353.03149999999999</v>
      </c>
      <c r="K11" s="10">
        <f t="shared" si="6"/>
        <v>969.96849999999995</v>
      </c>
    </row>
    <row r="12" spans="1:11" x14ac:dyDescent="0.3">
      <c r="A12" t="str">
        <f>tbl_Timesheet[[#This Row],[Emp_ID]]</f>
        <v>E011</v>
      </c>
      <c r="B12" t="str">
        <f>VLOOKUP(A12,tbl_Employees[],3,FALSE)&amp;" "&amp;VLOOKUP(A12,tbl_Employees[],2,FALSE)</f>
        <v>Kevin Lee</v>
      </c>
      <c r="C12" s="10">
        <f>IF(VLOOKUP(A12,tbl_Employees[],5,FALSE)="Hourly",
    VLOOKUP(A12,tbl_Employees[],6,FALSE)*VLOOKUP(A12,tbl_Timesheet[],3,FALSE),
    VLOOKUP(A12,tbl_Employees[],7,FALSE)/26)</f>
        <v>860</v>
      </c>
      <c r="D12" s="10">
        <f>IF(VLOOKUP(A12,tbl_Employees[],5,FALSE)="Hourly",
    VLOOKUP(A12,tbl_Employees[],6,FALSE)*1.5*VLOOKUP(A12,tbl_Timesheet[],4,FALSE),
    0)</f>
        <v>0</v>
      </c>
      <c r="E12" s="10">
        <f t="shared" si="0"/>
        <v>860</v>
      </c>
      <c r="F12" s="10">
        <f t="shared" si="1"/>
        <v>47.165055000000002</v>
      </c>
      <c r="G12" s="10">
        <f t="shared" si="2"/>
        <v>14.276</v>
      </c>
      <c r="H12" s="10">
        <f t="shared" si="3"/>
        <v>129</v>
      </c>
      <c r="I12" s="10">
        <f t="shared" si="4"/>
        <v>43.43</v>
      </c>
      <c r="J12" s="10">
        <f t="shared" si="5"/>
        <v>233.87105500000001</v>
      </c>
      <c r="K12" s="10">
        <f t="shared" si="6"/>
        <v>626.12894499999993</v>
      </c>
    </row>
    <row r="13" spans="1:11" x14ac:dyDescent="0.3">
      <c r="A13" t="str">
        <f>tbl_Timesheet[[#This Row],[Emp_ID]]</f>
        <v>E012</v>
      </c>
      <c r="B13" t="str">
        <f>VLOOKUP(A13,tbl_Employees[],3,FALSE)&amp;" "&amp;VLOOKUP(A13,tbl_Employees[],2,FALSE)</f>
        <v>Lisa Walker</v>
      </c>
      <c r="C13" s="10">
        <f>IF(VLOOKUP(A13,tbl_Employees[],5,FALSE)="Hourly",
    VLOOKUP(A13,tbl_Employees[],6,FALSE)*VLOOKUP(A13,tbl_Timesheet[],3,FALSE),
    VLOOKUP(A13,tbl_Employees[],7,FALSE)/26)</f>
        <v>2884.6153846153848</v>
      </c>
      <c r="D13" s="10">
        <f>IF(VLOOKUP(A13,tbl_Employees[],5,FALSE)="Hourly",
    VLOOKUP(A13,tbl_Employees[],6,FALSE)*1.5*VLOOKUP(A13,tbl_Timesheet[],4,FALSE),
    0)</f>
        <v>0</v>
      </c>
      <c r="E13" s="10">
        <f t="shared" si="0"/>
        <v>2884.6153846153848</v>
      </c>
      <c r="F13" s="10">
        <f t="shared" si="1"/>
        <v>67.58</v>
      </c>
      <c r="G13" s="10">
        <f t="shared" si="2"/>
        <v>20.190000000000001</v>
      </c>
      <c r="H13" s="10">
        <f t="shared" si="3"/>
        <v>432.69230769230768</v>
      </c>
      <c r="I13" s="10">
        <f t="shared" si="4"/>
        <v>145.67307692307693</v>
      </c>
      <c r="J13" s="10">
        <f t="shared" si="5"/>
        <v>666.13538461538462</v>
      </c>
      <c r="K13" s="10">
        <f t="shared" si="6"/>
        <v>2218.48</v>
      </c>
    </row>
    <row r="14" spans="1:11" x14ac:dyDescent="0.3">
      <c r="A14" t="str">
        <f>tbl_Timesheet[[#This Row],[Emp_ID]]</f>
        <v>E013</v>
      </c>
      <c r="B14" t="str">
        <f>VLOOKUP(A14,tbl_Employees[],3,FALSE)&amp;" "&amp;VLOOKUP(A14,tbl_Employees[],2,FALSE)</f>
        <v>David Hall</v>
      </c>
      <c r="C14" s="10">
        <f>IF(VLOOKUP(A14,tbl_Employees[],5,FALSE)="Hourly",
    VLOOKUP(A14,tbl_Employees[],6,FALSE)*VLOOKUP(A14,tbl_Timesheet[],3,FALSE),
    VLOOKUP(A14,tbl_Employees[],7,FALSE)/26)</f>
        <v>1160</v>
      </c>
      <c r="D14" s="10">
        <f>IF(VLOOKUP(A14,tbl_Employees[],5,FALSE)="Hourly",
    VLOOKUP(A14,tbl_Employees[],6,FALSE)*1.5*VLOOKUP(A14,tbl_Timesheet[],4,FALSE),
    0)</f>
        <v>152.25</v>
      </c>
      <c r="E14" s="10">
        <f t="shared" si="0"/>
        <v>1312.25</v>
      </c>
      <c r="F14" s="10">
        <f t="shared" si="1"/>
        <v>67.58</v>
      </c>
      <c r="G14" s="10">
        <f t="shared" si="2"/>
        <v>20.190000000000001</v>
      </c>
      <c r="H14" s="10">
        <f t="shared" si="3"/>
        <v>196.83750000000001</v>
      </c>
      <c r="I14" s="10">
        <f t="shared" si="4"/>
        <v>66.268625</v>
      </c>
      <c r="J14" s="10">
        <f t="shared" si="5"/>
        <v>350.876125</v>
      </c>
      <c r="K14" s="10">
        <f t="shared" si="6"/>
        <v>961.373875</v>
      </c>
    </row>
    <row r="15" spans="1:11" x14ac:dyDescent="0.3">
      <c r="A15" t="str">
        <f>tbl_Timesheet[[#This Row],[Emp_ID]]</f>
        <v>E014</v>
      </c>
      <c r="B15" t="str">
        <f>VLOOKUP(A15,tbl_Employees[],3,FALSE)&amp;" "&amp;VLOOKUP(A15,tbl_Employees[],2,FALSE)</f>
        <v>Jessica Allen</v>
      </c>
      <c r="C15" s="10">
        <f>IF(VLOOKUP(A15,tbl_Employees[],5,FALSE)="Hourly",
    VLOOKUP(A15,tbl_Employees[],6,FALSE)*VLOOKUP(A15,tbl_Timesheet[],3,FALSE),
    VLOOKUP(A15,tbl_Employees[],7,FALSE)/26)</f>
        <v>787.5</v>
      </c>
      <c r="D15" s="10">
        <f>IF(VLOOKUP(A15,tbl_Employees[],5,FALSE)="Hourly",
    VLOOKUP(A15,tbl_Employees[],6,FALSE)*1.5*VLOOKUP(A15,tbl_Timesheet[],4,FALSE),
    0)</f>
        <v>0</v>
      </c>
      <c r="E15" s="10">
        <f t="shared" si="0"/>
        <v>787.5</v>
      </c>
      <c r="F15" s="10">
        <f t="shared" si="1"/>
        <v>42.851305000000004</v>
      </c>
      <c r="G15" s="10">
        <f t="shared" si="2"/>
        <v>13.0725</v>
      </c>
      <c r="H15" s="10">
        <f t="shared" si="3"/>
        <v>118.125</v>
      </c>
      <c r="I15" s="10">
        <f t="shared" si="4"/>
        <v>39.768750000000004</v>
      </c>
      <c r="J15" s="10">
        <f t="shared" si="5"/>
        <v>213.81755500000003</v>
      </c>
      <c r="K15" s="10">
        <f t="shared" si="6"/>
        <v>573.68244499999992</v>
      </c>
    </row>
    <row r="16" spans="1:11" x14ac:dyDescent="0.3">
      <c r="A16" t="str">
        <f>tbl_Timesheet[[#This Row],[Emp_ID]]</f>
        <v>E015</v>
      </c>
      <c r="B16" t="str">
        <f>VLOOKUP(A16,tbl_Employees[],3,FALSE)&amp;" "&amp;VLOOKUP(A16,tbl_Employees[],2,FALSE)</f>
        <v>Michael Young</v>
      </c>
      <c r="C16" s="10">
        <f>IF(VLOOKUP(A16,tbl_Employees[],5,FALSE)="Hourly",
    VLOOKUP(A16,tbl_Employees[],6,FALSE)*VLOOKUP(A16,tbl_Timesheet[],3,FALSE),
    VLOOKUP(A16,tbl_Employees[],7,FALSE)/26)</f>
        <v>1020</v>
      </c>
      <c r="D16" s="10">
        <f>IF(VLOOKUP(A16,tbl_Employees[],5,FALSE)="Hourly",
    VLOOKUP(A16,tbl_Employees[],6,FALSE)*1.5*VLOOKUP(A16,tbl_Timesheet[],4,FALSE),
    0)</f>
        <v>76.5</v>
      </c>
      <c r="E16" s="10">
        <f t="shared" si="0"/>
        <v>1096.5</v>
      </c>
      <c r="F16" s="10">
        <f t="shared" si="1"/>
        <v>61.236805000000004</v>
      </c>
      <c r="G16" s="10">
        <f t="shared" si="2"/>
        <v>18.201899999999998</v>
      </c>
      <c r="H16" s="10">
        <f t="shared" si="3"/>
        <v>164.47499999999999</v>
      </c>
      <c r="I16" s="10">
        <f t="shared" si="4"/>
        <v>55.373250000000006</v>
      </c>
      <c r="J16" s="10">
        <f t="shared" si="5"/>
        <v>299.28695499999998</v>
      </c>
      <c r="K16" s="10">
        <f t="shared" si="6"/>
        <v>797.21304499999997</v>
      </c>
    </row>
    <row r="17" spans="1:11" x14ac:dyDescent="0.3">
      <c r="A17" t="str">
        <f>tbl_Timesheet[[#This Row],[Emp_ID]]</f>
        <v>E016</v>
      </c>
      <c r="B17" t="str">
        <f>VLOOKUP(A17,tbl_Employees[],3,FALSE)&amp;" "&amp;VLOOKUP(A17,tbl_Employees[],2,FALSE)</f>
        <v>Amanda King</v>
      </c>
      <c r="C17" s="10">
        <f>IF(VLOOKUP(A17,tbl_Employees[],5,FALSE)="Hourly",
    VLOOKUP(A17,tbl_Employees[],6,FALSE)*VLOOKUP(A17,tbl_Timesheet[],3,FALSE),
    VLOOKUP(A17,tbl_Employees[],7,FALSE)/26)</f>
        <v>1140</v>
      </c>
      <c r="D17" s="10">
        <f>IF(VLOOKUP(A17,tbl_Employees[],5,FALSE)="Hourly",
    VLOOKUP(A17,tbl_Employees[],6,FALSE)*1.5*VLOOKUP(A17,tbl_Timesheet[],4,FALSE),
    0)</f>
        <v>235.125</v>
      </c>
      <c r="E17" s="10">
        <f t="shared" si="0"/>
        <v>1375.125</v>
      </c>
      <c r="F17" s="10">
        <f t="shared" si="1"/>
        <v>67.58</v>
      </c>
      <c r="G17" s="10">
        <f t="shared" si="2"/>
        <v>20.190000000000001</v>
      </c>
      <c r="H17" s="10">
        <f t="shared" si="3"/>
        <v>206.26874999999998</v>
      </c>
      <c r="I17" s="10">
        <f t="shared" si="4"/>
        <v>69.443812500000007</v>
      </c>
      <c r="J17" s="10">
        <f t="shared" si="5"/>
        <v>363.48256249999997</v>
      </c>
      <c r="K17" s="10">
        <f t="shared" si="6"/>
        <v>1011.6424375</v>
      </c>
    </row>
    <row r="18" spans="1:11" x14ac:dyDescent="0.3">
      <c r="A18" t="str">
        <f>tbl_Timesheet[[#This Row],[Emp_ID]]</f>
        <v>E017</v>
      </c>
      <c r="B18" t="str">
        <f>VLOOKUP(A18,tbl_Employees[],3,FALSE)&amp;" "&amp;VLOOKUP(A18,tbl_Employees[],2,FALSE)</f>
        <v>Daniel Wright</v>
      </c>
      <c r="C18" s="10">
        <f>IF(VLOOKUP(A18,tbl_Employees[],5,FALSE)="Hourly",
    VLOOKUP(A18,tbl_Employees[],6,FALSE)*VLOOKUP(A18,tbl_Timesheet[],3,FALSE),
    VLOOKUP(A18,tbl_Employees[],7,FALSE)/26)</f>
        <v>1280</v>
      </c>
      <c r="D18" s="10">
        <f>IF(VLOOKUP(A18,tbl_Employees[],5,FALSE)="Hourly",
    VLOOKUP(A18,tbl_Employees[],6,FALSE)*1.5*VLOOKUP(A18,tbl_Timesheet[],4,FALSE),
    0)</f>
        <v>0</v>
      </c>
      <c r="E18" s="10">
        <f t="shared" si="0"/>
        <v>1280</v>
      </c>
      <c r="F18" s="10">
        <f t="shared" si="1"/>
        <v>67.58</v>
      </c>
      <c r="G18" s="10">
        <f t="shared" si="2"/>
        <v>20.190000000000001</v>
      </c>
      <c r="H18" s="10">
        <f t="shared" si="3"/>
        <v>192</v>
      </c>
      <c r="I18" s="10">
        <f t="shared" si="4"/>
        <v>64.64</v>
      </c>
      <c r="J18" s="10">
        <f t="shared" si="5"/>
        <v>344.40999999999997</v>
      </c>
      <c r="K18" s="10">
        <f t="shared" si="6"/>
        <v>935.59</v>
      </c>
    </row>
    <row r="19" spans="1:11" x14ac:dyDescent="0.3">
      <c r="A19" t="str">
        <f>tbl_Timesheet[[#This Row],[Emp_ID]]</f>
        <v>E018</v>
      </c>
      <c r="B19" t="str">
        <f>VLOOKUP(A19,tbl_Employees[],3,FALSE)&amp;" "&amp;VLOOKUP(A19,tbl_Employees[],2,FALSE)</f>
        <v>Nicole Scott</v>
      </c>
      <c r="C19" s="10">
        <f>IF(VLOOKUP(A19,tbl_Employees[],5,FALSE)="Hourly",
    VLOOKUP(A19,tbl_Employees[],6,FALSE)*VLOOKUP(A19,tbl_Timesheet[],3,FALSE),
    VLOOKUP(A19,tbl_Employees[],7,FALSE)/26)</f>
        <v>736</v>
      </c>
      <c r="D19" s="10">
        <f>IF(VLOOKUP(A19,tbl_Employees[],5,FALSE)="Hourly",
    VLOOKUP(A19,tbl_Employees[],6,FALSE)*1.5*VLOOKUP(A19,tbl_Timesheet[],4,FALSE),
    0)</f>
        <v>0</v>
      </c>
      <c r="E19" s="10">
        <f t="shared" si="0"/>
        <v>736</v>
      </c>
      <c r="F19" s="10">
        <f t="shared" si="1"/>
        <v>39.787055000000002</v>
      </c>
      <c r="G19" s="10">
        <f t="shared" si="2"/>
        <v>12.217600000000001</v>
      </c>
      <c r="H19" s="10">
        <f t="shared" si="3"/>
        <v>110.39999999999999</v>
      </c>
      <c r="I19" s="10">
        <f t="shared" si="4"/>
        <v>37.167999999999999</v>
      </c>
      <c r="J19" s="10">
        <f t="shared" si="5"/>
        <v>199.572655</v>
      </c>
      <c r="K19" s="10">
        <f t="shared" si="6"/>
        <v>536.42734500000006</v>
      </c>
    </row>
    <row r="20" spans="1:11" x14ac:dyDescent="0.3">
      <c r="A20" t="str">
        <f>tbl_Timesheet[[#This Row],[Emp_ID]]</f>
        <v>E019</v>
      </c>
      <c r="B20" t="str">
        <f>VLOOKUP(A20,tbl_Employees[],3,FALSE)&amp;" "&amp;VLOOKUP(A20,tbl_Employees[],2,FALSE)</f>
        <v>Christopher Green</v>
      </c>
      <c r="C20" s="10">
        <f>IF(VLOOKUP(A20,tbl_Employees[],5,FALSE)="Hourly",
    VLOOKUP(A20,tbl_Employees[],6,FALSE)*VLOOKUP(A20,tbl_Timesheet[],3,FALSE),
    VLOOKUP(A20,tbl_Employees[],7,FALSE)/26)</f>
        <v>980</v>
      </c>
      <c r="D20" s="10">
        <f>IF(VLOOKUP(A20,tbl_Employees[],5,FALSE)="Hourly",
    VLOOKUP(A20,tbl_Employees[],6,FALSE)*1.5*VLOOKUP(A20,tbl_Timesheet[],4,FALSE),
    0)</f>
        <v>36.75</v>
      </c>
      <c r="E20" s="10">
        <f t="shared" si="0"/>
        <v>1016.75</v>
      </c>
      <c r="F20" s="10">
        <f t="shared" si="1"/>
        <v>56.491680000000002</v>
      </c>
      <c r="G20" s="10">
        <f t="shared" si="2"/>
        <v>16.878050000000002</v>
      </c>
      <c r="H20" s="10">
        <f t="shared" si="3"/>
        <v>152.51249999999999</v>
      </c>
      <c r="I20" s="10">
        <f t="shared" si="4"/>
        <v>51.345875000000007</v>
      </c>
      <c r="J20" s="10">
        <f t="shared" si="5"/>
        <v>277.22810500000003</v>
      </c>
      <c r="K20" s="10">
        <f t="shared" si="6"/>
        <v>739.52189499999997</v>
      </c>
    </row>
    <row r="21" spans="1:11" x14ac:dyDescent="0.3">
      <c r="A21" t="str">
        <f>tbl_Timesheet[[#This Row],[Emp_ID]]</f>
        <v>E020</v>
      </c>
      <c r="B21" t="str">
        <f>VLOOKUP(A21,tbl_Employees[],3,FALSE)&amp;" "&amp;VLOOKUP(A21,tbl_Employees[],2,FALSE)</f>
        <v>Michelle Baker</v>
      </c>
      <c r="C21" s="10">
        <f>IF(VLOOKUP(A21,tbl_Employees[],5,FALSE)="Hourly",
    VLOOKUP(A21,tbl_Employees[],6,FALSE)*VLOOKUP(A21,tbl_Timesheet[],3,FALSE),
    VLOOKUP(A21,tbl_Employees[],7,FALSE)/26)</f>
        <v>1040</v>
      </c>
      <c r="D21" s="10">
        <f>IF(VLOOKUP(A21,tbl_Employees[],5,FALSE)="Hourly",
    VLOOKUP(A21,tbl_Employees[],6,FALSE)*1.5*VLOOKUP(A21,tbl_Timesheet[],4,FALSE),
    0)</f>
        <v>175.5</v>
      </c>
      <c r="E21" s="10">
        <f t="shared" si="0"/>
        <v>1215.5</v>
      </c>
      <c r="F21" s="10">
        <f t="shared" si="1"/>
        <v>67.58</v>
      </c>
      <c r="G21" s="10">
        <f t="shared" si="2"/>
        <v>20.177299999999999</v>
      </c>
      <c r="H21" s="10">
        <f t="shared" si="3"/>
        <v>182.32499999999999</v>
      </c>
      <c r="I21" s="10">
        <f t="shared" si="4"/>
        <v>61.382750000000001</v>
      </c>
      <c r="J21" s="10">
        <f t="shared" si="5"/>
        <v>331.46504999999996</v>
      </c>
      <c r="K21" s="10">
        <f t="shared" si="6"/>
        <v>884.03494999999998</v>
      </c>
    </row>
    <row r="22" spans="1:11" x14ac:dyDescent="0.3">
      <c r="A22" t="str">
        <f>tbl_Timesheet[[#This Row],[Emp_ID]]</f>
        <v>E021</v>
      </c>
      <c r="B22" t="str">
        <f>VLOOKUP(A22,tbl_Employees[],3,FALSE)&amp;" "&amp;VLOOKUP(A22,tbl_Employees[],2,FALSE)</f>
        <v>Ryan Nelson</v>
      </c>
      <c r="C22" s="10">
        <f>IF(VLOOKUP(A22,tbl_Employees[],5,FALSE)="Hourly",
    VLOOKUP(A22,tbl_Employees[],6,FALSE)*VLOOKUP(A22,tbl_Timesheet[],3,FALSE),
    VLOOKUP(A22,tbl_Employees[],7,FALSE)/26)</f>
        <v>3653.8461538461538</v>
      </c>
      <c r="D22" s="10">
        <f>IF(VLOOKUP(A22,tbl_Employees[],5,FALSE)="Hourly",
    VLOOKUP(A22,tbl_Employees[],6,FALSE)*1.5*VLOOKUP(A22,tbl_Timesheet[],4,FALSE),
    0)</f>
        <v>0</v>
      </c>
      <c r="E22" s="10">
        <f t="shared" si="0"/>
        <v>3653.8461538461538</v>
      </c>
      <c r="F22" s="10">
        <f t="shared" si="1"/>
        <v>67.58</v>
      </c>
      <c r="G22" s="10">
        <f t="shared" si="2"/>
        <v>20.190000000000001</v>
      </c>
      <c r="H22" s="10">
        <f t="shared" si="3"/>
        <v>548.07692307692309</v>
      </c>
      <c r="I22" s="10">
        <f t="shared" si="4"/>
        <v>184.51923076923077</v>
      </c>
      <c r="J22" s="10">
        <f t="shared" si="5"/>
        <v>820.36615384615379</v>
      </c>
      <c r="K22" s="10">
        <f t="shared" si="6"/>
        <v>2833.48</v>
      </c>
    </row>
    <row r="23" spans="1:11" x14ac:dyDescent="0.3">
      <c r="A23" t="str">
        <f>tbl_Timesheet[[#This Row],[Emp_ID]]</f>
        <v>E022</v>
      </c>
      <c r="B23" t="str">
        <f>VLOOKUP(A23,tbl_Employees[],3,FALSE)&amp;" "&amp;VLOOKUP(A23,tbl_Employees[],2,FALSE)</f>
        <v>Ashley Carter</v>
      </c>
      <c r="C23" s="10">
        <f>IF(VLOOKUP(A23,tbl_Employees[],5,FALSE)="Hourly",
    VLOOKUP(A23,tbl_Employees[],6,FALSE)*VLOOKUP(A23,tbl_Timesheet[],3,FALSE),
    VLOOKUP(A23,tbl_Employees[],7,FALSE)/26)</f>
        <v>900</v>
      </c>
      <c r="D23" s="10">
        <f>IF(VLOOKUP(A23,tbl_Employees[],5,FALSE)="Hourly",
    VLOOKUP(A23,tbl_Employees[],6,FALSE)*1.5*VLOOKUP(A23,tbl_Timesheet[],4,FALSE),
    0)</f>
        <v>0</v>
      </c>
      <c r="E23" s="10">
        <f t="shared" si="0"/>
        <v>900</v>
      </c>
      <c r="F23" s="10">
        <f t="shared" si="1"/>
        <v>49.545054999999998</v>
      </c>
      <c r="G23" s="10">
        <f t="shared" si="2"/>
        <v>14.94</v>
      </c>
      <c r="H23" s="10">
        <f t="shared" si="3"/>
        <v>135</v>
      </c>
      <c r="I23" s="10">
        <f t="shared" si="4"/>
        <v>45.45</v>
      </c>
      <c r="J23" s="10">
        <f t="shared" si="5"/>
        <v>244.93505499999998</v>
      </c>
      <c r="K23" s="10">
        <f t="shared" si="6"/>
        <v>655.06494500000008</v>
      </c>
    </row>
    <row r="24" spans="1:11" x14ac:dyDescent="0.3">
      <c r="A24" t="str">
        <f>tbl_Timesheet[[#This Row],[Emp_ID]]</f>
        <v>E023</v>
      </c>
      <c r="B24" t="str">
        <f>VLOOKUP(A24,tbl_Employees[],3,FALSE)&amp;" "&amp;VLOOKUP(A24,tbl_Employees[],2,FALSE)</f>
        <v>Brandon Mitchell</v>
      </c>
      <c r="C24" s="10">
        <f>IF(VLOOKUP(A24,tbl_Employees[],5,FALSE)="Hourly",
    VLOOKUP(A24,tbl_Employees[],6,FALSE)*VLOOKUP(A24,tbl_Timesheet[],3,FALSE),
    VLOOKUP(A24,tbl_Employees[],7,FALSE)/26)</f>
        <v>1100</v>
      </c>
      <c r="D24" s="10">
        <f>IF(VLOOKUP(A24,tbl_Employees[],5,FALSE)="Hourly",
    VLOOKUP(A24,tbl_Employees[],6,FALSE)*1.5*VLOOKUP(A24,tbl_Timesheet[],4,FALSE),
    0)</f>
        <v>103.125</v>
      </c>
      <c r="E24" s="10">
        <f t="shared" si="0"/>
        <v>1203.125</v>
      </c>
      <c r="F24" s="10">
        <f t="shared" si="1"/>
        <v>67.58</v>
      </c>
      <c r="G24" s="10">
        <f t="shared" si="2"/>
        <v>19.971875000000001</v>
      </c>
      <c r="H24" s="10">
        <f t="shared" si="3"/>
        <v>180.46875</v>
      </c>
      <c r="I24" s="10">
        <f t="shared" si="4"/>
        <v>60.757812500000007</v>
      </c>
      <c r="J24" s="10">
        <f t="shared" si="5"/>
        <v>328.7784375</v>
      </c>
      <c r="K24" s="10">
        <f t="shared" si="6"/>
        <v>874.3465625</v>
      </c>
    </row>
    <row r="25" spans="1:11" x14ac:dyDescent="0.3">
      <c r="A25" t="str">
        <f>tbl_Timesheet[[#This Row],[Emp_ID]]</f>
        <v>E024</v>
      </c>
      <c r="B25" t="str">
        <f>VLOOKUP(A25,tbl_Employees[],3,FALSE)&amp;" "&amp;VLOOKUP(A25,tbl_Employees[],2,FALSE)</f>
        <v>Samantha Perez</v>
      </c>
      <c r="C25" s="10">
        <f>IF(VLOOKUP(A25,tbl_Employees[],5,FALSE)="Hourly",
    VLOOKUP(A25,tbl_Employees[],6,FALSE)*VLOOKUP(A25,tbl_Timesheet[],3,FALSE),
    VLOOKUP(A25,tbl_Employees[],7,FALSE)/26)</f>
        <v>1020</v>
      </c>
      <c r="D25" s="10">
        <f>IF(VLOOKUP(A25,tbl_Employees[],5,FALSE)="Hourly",
    VLOOKUP(A25,tbl_Employees[],6,FALSE)*1.5*VLOOKUP(A25,tbl_Timesheet[],4,FALSE),
    0)</f>
        <v>114.75</v>
      </c>
      <c r="E25" s="10">
        <f t="shared" si="0"/>
        <v>1134.75</v>
      </c>
      <c r="F25" s="10">
        <f t="shared" si="1"/>
        <v>63.512680000000003</v>
      </c>
      <c r="G25" s="10">
        <f t="shared" si="2"/>
        <v>18.836850000000002</v>
      </c>
      <c r="H25" s="10">
        <f t="shared" si="3"/>
        <v>170.21250000000001</v>
      </c>
      <c r="I25" s="10">
        <f t="shared" si="4"/>
        <v>57.304875000000003</v>
      </c>
      <c r="J25" s="10">
        <f t="shared" si="5"/>
        <v>309.86690499999997</v>
      </c>
      <c r="K25" s="10">
        <f t="shared" si="6"/>
        <v>824.88309500000003</v>
      </c>
    </row>
    <row r="26" spans="1:11" x14ac:dyDescent="0.3">
      <c r="A26" t="str">
        <f>tbl_Timesheet[[#This Row],[Emp_ID]]</f>
        <v>E025</v>
      </c>
      <c r="B26" t="str">
        <f>VLOOKUP(A26,tbl_Employees[],3,FALSE)&amp;" "&amp;VLOOKUP(A26,tbl_Employees[],2,FALSE)</f>
        <v>Justin Roberts</v>
      </c>
      <c r="C26" s="10">
        <f>IF(VLOOKUP(A26,tbl_Employees[],5,FALSE)="Hourly",
    VLOOKUP(A26,tbl_Employees[],6,FALSE)*VLOOKUP(A26,tbl_Timesheet[],3,FALSE),
    VLOOKUP(A26,tbl_Employees[],7,FALSE)/26)</f>
        <v>924</v>
      </c>
      <c r="D26" s="10">
        <f>IF(VLOOKUP(A26,tbl_Employees[],5,FALSE)="Hourly",
    VLOOKUP(A26,tbl_Employees[],6,FALSE)*1.5*VLOOKUP(A26,tbl_Timesheet[],4,FALSE),
    0)</f>
        <v>0</v>
      </c>
      <c r="E26" s="10">
        <f t="shared" si="0"/>
        <v>924</v>
      </c>
      <c r="F26" s="10">
        <f t="shared" si="1"/>
        <v>50.973055000000002</v>
      </c>
      <c r="G26" s="10">
        <f t="shared" si="2"/>
        <v>15.3384</v>
      </c>
      <c r="H26" s="10">
        <f t="shared" si="3"/>
        <v>138.6</v>
      </c>
      <c r="I26" s="10">
        <f t="shared" si="4"/>
        <v>46.662000000000006</v>
      </c>
      <c r="J26" s="10">
        <f t="shared" si="5"/>
        <v>251.573455</v>
      </c>
      <c r="K26" s="10">
        <f t="shared" si="6"/>
        <v>672.42654500000003</v>
      </c>
    </row>
    <row r="27" spans="1:11" x14ac:dyDescent="0.3">
      <c r="A27" t="str">
        <f>tbl_Timesheet[[#This Row],[Emp_ID]]</f>
        <v>E026</v>
      </c>
      <c r="B27" t="str">
        <f>VLOOKUP(A27,tbl_Employees[],3,FALSE)&amp;" "&amp;VLOOKUP(A27,tbl_Employees[],2,FALSE)</f>
        <v>Rachel Turner</v>
      </c>
      <c r="C27" s="10">
        <f>IF(VLOOKUP(A27,tbl_Employees[],5,FALSE)="Hourly",
    VLOOKUP(A27,tbl_Employees[],6,FALSE)*VLOOKUP(A27,tbl_Timesheet[],3,FALSE),
    VLOOKUP(A27,tbl_Employees[],7,FALSE)/26)</f>
        <v>3076.9230769230771</v>
      </c>
      <c r="D27" s="10">
        <f>IF(VLOOKUP(A27,tbl_Employees[],5,FALSE)="Hourly",
    VLOOKUP(A27,tbl_Employees[],6,FALSE)*1.5*VLOOKUP(A27,tbl_Timesheet[],4,FALSE),
    0)</f>
        <v>0</v>
      </c>
      <c r="E27" s="10">
        <f t="shared" si="0"/>
        <v>3076.9230769230771</v>
      </c>
      <c r="F27" s="10">
        <f t="shared" si="1"/>
        <v>67.58</v>
      </c>
      <c r="G27" s="10">
        <f t="shared" si="2"/>
        <v>20.190000000000001</v>
      </c>
      <c r="H27" s="10">
        <f t="shared" si="3"/>
        <v>461.53846153846155</v>
      </c>
      <c r="I27" s="10">
        <f t="shared" si="4"/>
        <v>155.38461538461542</v>
      </c>
      <c r="J27" s="10">
        <f t="shared" si="5"/>
        <v>704.69307692307689</v>
      </c>
      <c r="K27" s="10">
        <f t="shared" si="6"/>
        <v>2372.2300000000005</v>
      </c>
    </row>
    <row r="28" spans="1:11" x14ac:dyDescent="0.3">
      <c r="A28" t="str">
        <f>tbl_Timesheet[[#This Row],[Emp_ID]]</f>
        <v>E027</v>
      </c>
      <c r="B28" t="str">
        <f>VLOOKUP(A28,tbl_Employees[],3,FALSE)&amp;" "&amp;VLOOKUP(A28,tbl_Employees[],2,FALSE)</f>
        <v>Matthew Phillips</v>
      </c>
      <c r="C28" s="10">
        <f>IF(VLOOKUP(A28,tbl_Employees[],5,FALSE)="Hourly",
    VLOOKUP(A28,tbl_Employees[],6,FALSE)*VLOOKUP(A28,tbl_Timesheet[],3,FALSE),
    VLOOKUP(A28,tbl_Employees[],7,FALSE)/26)</f>
        <v>1180</v>
      </c>
      <c r="D28" s="10">
        <f>IF(VLOOKUP(A28,tbl_Employees[],5,FALSE)="Hourly",
    VLOOKUP(A28,tbl_Employees[],6,FALSE)*1.5*VLOOKUP(A28,tbl_Timesheet[],4,FALSE),
    0)</f>
        <v>309.75</v>
      </c>
      <c r="E28" s="10">
        <f t="shared" si="0"/>
        <v>1489.75</v>
      </c>
      <c r="F28" s="10">
        <f t="shared" si="1"/>
        <v>67.58</v>
      </c>
      <c r="G28" s="10">
        <f t="shared" si="2"/>
        <v>20.190000000000001</v>
      </c>
      <c r="H28" s="10">
        <f t="shared" si="3"/>
        <v>223.46250000000001</v>
      </c>
      <c r="I28" s="10">
        <f t="shared" si="4"/>
        <v>75.232375000000005</v>
      </c>
      <c r="J28" s="10">
        <f t="shared" si="5"/>
        <v>386.46487500000001</v>
      </c>
      <c r="K28" s="10">
        <f t="shared" si="6"/>
        <v>1103.2851249999999</v>
      </c>
    </row>
    <row r="29" spans="1:11" x14ac:dyDescent="0.3">
      <c r="A29" t="str">
        <f>tbl_Timesheet[[#This Row],[Emp_ID]]</f>
        <v>E028</v>
      </c>
      <c r="B29" t="str">
        <f>VLOOKUP(A29,tbl_Employees[],3,FALSE)&amp;" "&amp;VLOOKUP(A29,tbl_Employees[],2,FALSE)</f>
        <v>Lauren Campbell</v>
      </c>
      <c r="C29" s="10">
        <f>IF(VLOOKUP(A29,tbl_Employees[],5,FALSE)="Hourly",
    VLOOKUP(A29,tbl_Employees[],6,FALSE)*VLOOKUP(A29,tbl_Timesheet[],3,FALSE),
    VLOOKUP(A29,tbl_Employees[],7,FALSE)/26)</f>
        <v>846</v>
      </c>
      <c r="D29" s="10">
        <f>IF(VLOOKUP(A29,tbl_Employees[],5,FALSE)="Hourly",
    VLOOKUP(A29,tbl_Employees[],6,FALSE)*1.5*VLOOKUP(A29,tbl_Timesheet[],4,FALSE),
    0)</f>
        <v>0</v>
      </c>
      <c r="E29" s="10">
        <f t="shared" si="0"/>
        <v>846</v>
      </c>
      <c r="F29" s="10">
        <f t="shared" si="1"/>
        <v>46.332055000000004</v>
      </c>
      <c r="G29" s="10">
        <f t="shared" si="2"/>
        <v>14.0436</v>
      </c>
      <c r="H29" s="10">
        <f t="shared" si="3"/>
        <v>126.89999999999999</v>
      </c>
      <c r="I29" s="10">
        <f t="shared" si="4"/>
        <v>42.723000000000006</v>
      </c>
      <c r="J29" s="10">
        <f t="shared" si="5"/>
        <v>229.99865500000001</v>
      </c>
      <c r="K29" s="10">
        <f t="shared" si="6"/>
        <v>616.00134500000001</v>
      </c>
    </row>
    <row r="30" spans="1:11" x14ac:dyDescent="0.3">
      <c r="A30" t="str">
        <f>tbl_Timesheet[[#This Row],[Emp_ID]]</f>
        <v>E029</v>
      </c>
      <c r="B30" t="str">
        <f>VLOOKUP(A30,tbl_Employees[],3,FALSE)&amp;" "&amp;VLOOKUP(A30,tbl_Employees[],2,FALSE)</f>
        <v>Andrew Parker</v>
      </c>
      <c r="C30" s="10">
        <f>IF(VLOOKUP(A30,tbl_Employees[],5,FALSE)="Hourly",
    VLOOKUP(A30,tbl_Employees[],6,FALSE)*VLOOKUP(A30,tbl_Timesheet[],3,FALSE),
    VLOOKUP(A30,tbl_Employees[],7,FALSE)/26)</f>
        <v>1060</v>
      </c>
      <c r="D30" s="10">
        <f>IF(VLOOKUP(A30,tbl_Employees[],5,FALSE)="Hourly",
    VLOOKUP(A30,tbl_Employees[],6,FALSE)*1.5*VLOOKUP(A30,tbl_Timesheet[],4,FALSE),
    0)</f>
        <v>59.625</v>
      </c>
      <c r="E30" s="10">
        <f t="shared" si="0"/>
        <v>1119.625</v>
      </c>
      <c r="F30" s="10">
        <f t="shared" si="1"/>
        <v>62.612742500000003</v>
      </c>
      <c r="G30" s="10">
        <f t="shared" si="2"/>
        <v>18.585775000000002</v>
      </c>
      <c r="H30" s="10">
        <f t="shared" si="3"/>
        <v>167.94374999999999</v>
      </c>
      <c r="I30" s="10">
        <f t="shared" si="4"/>
        <v>56.541062500000002</v>
      </c>
      <c r="J30" s="10">
        <f t="shared" si="5"/>
        <v>305.68333000000001</v>
      </c>
      <c r="K30" s="10">
        <f t="shared" si="6"/>
        <v>813.94166999999993</v>
      </c>
    </row>
    <row r="31" spans="1:11" x14ac:dyDescent="0.3">
      <c r="A31" t="str">
        <f>tbl_Timesheet[[#This Row],[Emp_ID]]</f>
        <v>E030</v>
      </c>
      <c r="B31" t="str">
        <f>VLOOKUP(A31,tbl_Employees[],3,FALSE)&amp;" "&amp;VLOOKUP(A31,tbl_Employees[],2,FALSE)</f>
        <v>Megan Evans</v>
      </c>
      <c r="C31" s="10">
        <f>IF(VLOOKUP(A31,tbl_Employees[],5,FALSE)="Hourly",
    VLOOKUP(A31,tbl_Employees[],6,FALSE)*VLOOKUP(A31,tbl_Timesheet[],3,FALSE),
    VLOOKUP(A31,tbl_Employees[],7,FALSE)/26)</f>
        <v>1120</v>
      </c>
      <c r="D31" s="10">
        <f>IF(VLOOKUP(A31,tbl_Employees[],5,FALSE)="Hourly",
    VLOOKUP(A31,tbl_Employees[],6,FALSE)*1.5*VLOOKUP(A31,tbl_Timesheet[],4,FALSE),
    0)</f>
        <v>168</v>
      </c>
      <c r="E31" s="10">
        <f t="shared" si="0"/>
        <v>1288</v>
      </c>
      <c r="F31" s="10">
        <f t="shared" si="1"/>
        <v>67.58</v>
      </c>
      <c r="G31" s="10">
        <f t="shared" si="2"/>
        <v>20.190000000000001</v>
      </c>
      <c r="H31" s="10">
        <f t="shared" si="3"/>
        <v>193.2</v>
      </c>
      <c r="I31" s="10">
        <f t="shared" si="4"/>
        <v>65.044000000000011</v>
      </c>
      <c r="J31" s="10">
        <f t="shared" si="5"/>
        <v>346.01400000000001</v>
      </c>
      <c r="K31" s="10">
        <f t="shared" si="6"/>
        <v>941.98599999999999</v>
      </c>
    </row>
    <row r="33" spans="1:44" s="6" customFormat="1" x14ac:dyDescent="0.3">
      <c r="A33" s="12" t="s">
        <v>130</v>
      </c>
      <c r="B33" s="12"/>
      <c r="C33" s="5"/>
      <c r="D33" s="5"/>
      <c r="E33" s="5"/>
      <c r="F33" s="5"/>
      <c r="G33" s="5"/>
      <c r="H33" s="5"/>
      <c r="I33" s="5"/>
      <c r="J33" s="5"/>
      <c r="K33" s="5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1:44" x14ac:dyDescent="0.3">
      <c r="A34" t="s">
        <v>122</v>
      </c>
      <c r="B34" t="s">
        <v>123</v>
      </c>
    </row>
    <row r="35" spans="1:44" x14ac:dyDescent="0.3">
      <c r="A35" t="s">
        <v>124</v>
      </c>
      <c r="B35" s="4">
        <f>SUM(Table3[Gross_Pay])</f>
        <v>45259.682692307695</v>
      </c>
    </row>
    <row r="36" spans="1:44" x14ac:dyDescent="0.3">
      <c r="A36" t="s">
        <v>125</v>
      </c>
      <c r="B36" s="4">
        <f>SUM(Table3[CPP])</f>
        <v>1820.6375125</v>
      </c>
    </row>
    <row r="37" spans="1:44" x14ac:dyDescent="0.3">
      <c r="A37" t="s">
        <v>126</v>
      </c>
      <c r="B37" s="4">
        <f>SUM(Table3[EI])</f>
        <v>544.50815</v>
      </c>
    </row>
    <row r="38" spans="1:44" x14ac:dyDescent="0.3">
      <c r="A38" t="s">
        <v>127</v>
      </c>
      <c r="B38" s="4">
        <f>SUM(H2:I31)</f>
        <v>9074.5663798076894</v>
      </c>
    </row>
    <row r="39" spans="1:44" x14ac:dyDescent="0.3">
      <c r="A39" t="s">
        <v>128</v>
      </c>
      <c r="B39" s="4">
        <f>SUM(Table3[Total_Deductions])</f>
        <v>11439.712042307689</v>
      </c>
    </row>
    <row r="40" spans="1:44" x14ac:dyDescent="0.3">
      <c r="A40" t="s">
        <v>129</v>
      </c>
      <c r="B40" s="4">
        <f>SUM(Table3[Net_Pay])</f>
        <v>33819.970649999996</v>
      </c>
    </row>
  </sheetData>
  <mergeCells count="1">
    <mergeCell ref="A33:B33"/>
  </mergeCell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436D0-60FB-47D8-99D6-A0EACD2F4C01}">
  <dimension ref="A2:F8"/>
  <sheetViews>
    <sheetView workbookViewId="0">
      <selection activeCell="D3" sqref="D3"/>
    </sheetView>
  </sheetViews>
  <sheetFormatPr defaultRowHeight="14.4" x14ac:dyDescent="0.3"/>
  <cols>
    <col min="1" max="1" width="10.33203125" bestFit="1" customWidth="1"/>
    <col min="2" max="2" width="9.6640625" customWidth="1"/>
    <col min="3" max="3" width="15.44140625" customWidth="1"/>
    <col min="4" max="5" width="11.44140625" bestFit="1" customWidth="1"/>
    <col min="6" max="6" width="24.6640625" bestFit="1" customWidth="1"/>
  </cols>
  <sheetData>
    <row r="2" spans="1:6" x14ac:dyDescent="0.3">
      <c r="A2" t="s">
        <v>131</v>
      </c>
      <c r="B2" t="s">
        <v>132</v>
      </c>
      <c r="C2" t="s">
        <v>133</v>
      </c>
      <c r="D2" t="s">
        <v>134</v>
      </c>
      <c r="E2" t="s">
        <v>135</v>
      </c>
      <c r="F2" t="s">
        <v>136</v>
      </c>
    </row>
    <row r="3" spans="1:6" x14ac:dyDescent="0.3">
      <c r="A3" s="1">
        <v>45639</v>
      </c>
      <c r="B3">
        <v>5100</v>
      </c>
      <c r="C3" t="s">
        <v>137</v>
      </c>
      <c r="D3" s="8">
        <f>Payroll_Calc!B35</f>
        <v>45259.682692307695</v>
      </c>
      <c r="E3" s="9"/>
      <c r="F3" t="s">
        <v>138</v>
      </c>
    </row>
    <row r="4" spans="1:6" x14ac:dyDescent="0.3">
      <c r="A4" s="1">
        <v>45639</v>
      </c>
      <c r="B4">
        <v>2200</v>
      </c>
      <c r="C4" t="s">
        <v>139</v>
      </c>
      <c r="D4" s="9"/>
      <c r="E4" s="8">
        <f>Payroll_Calc!B36</f>
        <v>1820.6375125</v>
      </c>
      <c r="F4" t="s">
        <v>140</v>
      </c>
    </row>
    <row r="5" spans="1:6" x14ac:dyDescent="0.3">
      <c r="A5" s="1">
        <v>45639</v>
      </c>
      <c r="B5">
        <v>2200</v>
      </c>
      <c r="C5" t="s">
        <v>141</v>
      </c>
      <c r="D5" s="9"/>
      <c r="E5" s="8">
        <f>Payroll_Calc!B37</f>
        <v>544.50815</v>
      </c>
      <c r="F5" t="s">
        <v>142</v>
      </c>
    </row>
    <row r="6" spans="1:6" x14ac:dyDescent="0.3">
      <c r="A6" s="1">
        <v>45639</v>
      </c>
      <c r="B6">
        <v>2200</v>
      </c>
      <c r="C6" t="s">
        <v>143</v>
      </c>
      <c r="D6" s="9"/>
      <c r="E6" s="8">
        <f>Payroll_Calc!B38</f>
        <v>9074.5663798076894</v>
      </c>
      <c r="F6" t="s">
        <v>144</v>
      </c>
    </row>
    <row r="7" spans="1:6" x14ac:dyDescent="0.3">
      <c r="A7" s="1">
        <v>45639</v>
      </c>
      <c r="B7">
        <v>1000</v>
      </c>
      <c r="C7" t="s">
        <v>128</v>
      </c>
      <c r="D7" s="9"/>
      <c r="E7" s="8">
        <f>Payroll_Calc!B39</f>
        <v>11439.712042307689</v>
      </c>
      <c r="F7" t="s">
        <v>128</v>
      </c>
    </row>
    <row r="8" spans="1:6" x14ac:dyDescent="0.3">
      <c r="A8" s="1">
        <v>45640</v>
      </c>
      <c r="B8">
        <v>1000</v>
      </c>
      <c r="C8" t="s">
        <v>145</v>
      </c>
      <c r="D8" s="9"/>
      <c r="E8" s="8">
        <f>Payroll_Calc!B40</f>
        <v>33819.970649999996</v>
      </c>
      <c r="F8" t="s">
        <v>146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Payroll_Master</vt:lpstr>
      <vt:lpstr>Payroll_Weekly</vt:lpstr>
      <vt:lpstr>Payroll_Calc</vt:lpstr>
      <vt:lpstr>JE_Payroll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Kori</dc:creator>
  <cp:lastModifiedBy>Arjun Kori</cp:lastModifiedBy>
  <dcterms:created xsi:type="dcterms:W3CDTF">2025-12-12T00:11:34Z</dcterms:created>
  <dcterms:modified xsi:type="dcterms:W3CDTF">2025-12-29T03:05:19Z</dcterms:modified>
</cp:coreProperties>
</file>