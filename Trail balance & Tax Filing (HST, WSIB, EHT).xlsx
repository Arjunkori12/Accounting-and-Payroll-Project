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2173900fa0e546/Desktop/"/>
    </mc:Choice>
  </mc:AlternateContent>
  <xr:revisionPtr revIDLastSave="4" documentId="8_{2FFE5057-28E6-46B3-B3EC-03589DD3D6A2}" xr6:coauthVersionLast="47" xr6:coauthVersionMax="47" xr10:uidLastSave="{F8A169A5-E5D4-43C2-95C0-AD09789362DA}"/>
  <bookViews>
    <workbookView xWindow="24" yWindow="384" windowWidth="23016" windowHeight="12216" xr2:uid="{6A97AD48-6CAE-402F-841F-77B5C3AA061C}"/>
  </bookViews>
  <sheets>
    <sheet name="10 Trial Balance " sheetId="1" r:id="rId1"/>
    <sheet name="11 HST_Return" sheetId="2" r:id="rId2"/>
    <sheet name="12 HST_Rec&amp;JE" sheetId="3" r:id="rId3"/>
    <sheet name="13 WSIB &amp; EH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122" i="1" s="1"/>
  <c r="C122" i="1"/>
  <c r="B3" i="5"/>
  <c r="B5" i="5"/>
  <c r="B7" i="5"/>
  <c r="B8" i="5"/>
  <c r="B13" i="5"/>
  <c r="C15" i="5"/>
  <c r="C17" i="5"/>
  <c r="B5" i="3"/>
  <c r="B8" i="3"/>
  <c r="B13" i="3"/>
  <c r="B18" i="3"/>
  <c r="B30" i="3"/>
  <c r="B41" i="3"/>
  <c r="B44" i="3"/>
  <c r="B56" i="3"/>
  <c r="B57" i="3"/>
  <c r="C4" i="2"/>
  <c r="C5" i="2" s="1"/>
  <c r="C7" i="2"/>
  <c r="C8" i="2" s="1"/>
  <c r="B9" i="3" s="1"/>
  <c r="G2" i="1"/>
  <c r="J2" i="1" s="1"/>
  <c r="H2" i="1"/>
  <c r="G3" i="1"/>
  <c r="H3" i="1"/>
  <c r="J3" i="1"/>
  <c r="G4" i="1"/>
  <c r="H4" i="1"/>
  <c r="J4" i="1"/>
  <c r="G5" i="1"/>
  <c r="H5" i="1"/>
  <c r="J5" i="1"/>
  <c r="G6" i="1"/>
  <c r="J6" i="1" s="1"/>
  <c r="H6" i="1"/>
  <c r="G7" i="1"/>
  <c r="H7" i="1"/>
  <c r="J7" i="1"/>
  <c r="G8" i="1"/>
  <c r="H8" i="1"/>
  <c r="J8" i="1"/>
  <c r="G9" i="1"/>
  <c r="H9" i="1"/>
  <c r="J9" i="1"/>
  <c r="G10" i="1"/>
  <c r="J10" i="1" s="1"/>
  <c r="H10" i="1"/>
  <c r="G11" i="1"/>
  <c r="H11" i="1"/>
  <c r="J11" i="1"/>
  <c r="G12" i="1"/>
  <c r="H12" i="1"/>
  <c r="J12" i="1"/>
  <c r="G13" i="1"/>
  <c r="H13" i="1"/>
  <c r="J13" i="1"/>
  <c r="G14" i="1"/>
  <c r="J14" i="1" s="1"/>
  <c r="H14" i="1"/>
  <c r="G15" i="1"/>
  <c r="H15" i="1"/>
  <c r="J15" i="1"/>
  <c r="G16" i="1"/>
  <c r="H16" i="1"/>
  <c r="J16" i="1"/>
  <c r="G17" i="1"/>
  <c r="H17" i="1"/>
  <c r="J17" i="1"/>
  <c r="G18" i="1"/>
  <c r="H18" i="1" s="1"/>
  <c r="G19" i="1"/>
  <c r="J19" i="1"/>
  <c r="G20" i="1"/>
  <c r="H20" i="1"/>
  <c r="J20" i="1"/>
  <c r="G21" i="1"/>
  <c r="H21" i="1"/>
  <c r="J21" i="1"/>
  <c r="G22" i="1"/>
  <c r="J22" i="1" s="1"/>
  <c r="H22" i="1"/>
  <c r="G23" i="1"/>
  <c r="H23" i="1"/>
  <c r="J23" i="1"/>
  <c r="G24" i="1"/>
  <c r="H24" i="1"/>
  <c r="J24" i="1"/>
  <c r="G25" i="1"/>
  <c r="H25" i="1"/>
  <c r="J25" i="1"/>
  <c r="G26" i="1"/>
  <c r="J26" i="1" s="1"/>
  <c r="H26" i="1"/>
  <c r="G27" i="1"/>
  <c r="H27" i="1"/>
  <c r="J27" i="1"/>
  <c r="G28" i="1"/>
  <c r="H28" i="1"/>
  <c r="J28" i="1"/>
  <c r="G29" i="1"/>
  <c r="H29" i="1"/>
  <c r="J29" i="1"/>
  <c r="G31" i="1"/>
  <c r="J31" i="1" s="1"/>
  <c r="H31" i="1"/>
  <c r="G32" i="1"/>
  <c r="J32" i="1"/>
  <c r="G33" i="1"/>
  <c r="J33" i="1"/>
  <c r="G34" i="1"/>
  <c r="J34" i="1"/>
  <c r="G35" i="1"/>
  <c r="J35" i="1"/>
  <c r="G37" i="1"/>
  <c r="J37" i="1" s="1"/>
  <c r="G38" i="1"/>
  <c r="J38" i="1"/>
  <c r="G39" i="1"/>
  <c r="J39" i="1"/>
  <c r="G40" i="1"/>
  <c r="J40" i="1"/>
  <c r="G41" i="1"/>
  <c r="J41" i="1"/>
  <c r="G42" i="1"/>
  <c r="J42" i="1"/>
  <c r="G43" i="1"/>
  <c r="J43" i="1" s="1"/>
  <c r="G44" i="1"/>
  <c r="J44" i="1"/>
  <c r="G45" i="1"/>
  <c r="J45" i="1"/>
  <c r="G46" i="1"/>
  <c r="J46" i="1"/>
  <c r="G47" i="1"/>
  <c r="J47" i="1"/>
  <c r="G48" i="1"/>
  <c r="J48" i="1"/>
  <c r="G49" i="1"/>
  <c r="J49" i="1" s="1"/>
  <c r="G50" i="1"/>
  <c r="J50" i="1"/>
  <c r="G51" i="1"/>
  <c r="J51" i="1"/>
  <c r="G52" i="1"/>
  <c r="J52" i="1"/>
  <c r="G53" i="1"/>
  <c r="J53" i="1"/>
  <c r="G54" i="1"/>
  <c r="J54" i="1"/>
  <c r="G55" i="1"/>
  <c r="J55" i="1" s="1"/>
  <c r="G56" i="1"/>
  <c r="J56" i="1"/>
  <c r="G57" i="1"/>
  <c r="J57" i="1"/>
  <c r="G58" i="1"/>
  <c r="J58" i="1"/>
  <c r="G59" i="1"/>
  <c r="J59" i="1"/>
  <c r="G60" i="1"/>
  <c r="J60" i="1"/>
  <c r="G61" i="1"/>
  <c r="J61" i="1" s="1"/>
  <c r="G62" i="1"/>
  <c r="J62" i="1"/>
  <c r="G63" i="1"/>
  <c r="J63" i="1"/>
  <c r="G64" i="1"/>
  <c r="J64" i="1"/>
  <c r="G65" i="1"/>
  <c r="J65" i="1"/>
  <c r="G66" i="1"/>
  <c r="J66" i="1"/>
  <c r="G67" i="1"/>
  <c r="J67" i="1" s="1"/>
  <c r="G68" i="1"/>
  <c r="J68" i="1" s="1"/>
  <c r="G69" i="1"/>
  <c r="J69" i="1"/>
  <c r="G70" i="1"/>
  <c r="J70" i="1"/>
  <c r="G71" i="1"/>
  <c r="J71" i="1"/>
  <c r="G72" i="1"/>
  <c r="J72" i="1"/>
  <c r="G73" i="1"/>
  <c r="J73" i="1" s="1"/>
  <c r="G74" i="1"/>
  <c r="J74" i="1" s="1"/>
  <c r="G75" i="1"/>
  <c r="J75" i="1"/>
  <c r="G76" i="1"/>
  <c r="J76" i="1"/>
  <c r="G77" i="1"/>
  <c r="J77" i="1"/>
  <c r="G78" i="1"/>
  <c r="J78" i="1"/>
  <c r="G79" i="1"/>
  <c r="J79" i="1" s="1"/>
  <c r="G80" i="1"/>
  <c r="J80" i="1" s="1"/>
  <c r="G81" i="1"/>
  <c r="J81" i="1"/>
  <c r="G82" i="1"/>
  <c r="J82" i="1"/>
  <c r="G83" i="1"/>
  <c r="J83" i="1"/>
  <c r="G84" i="1"/>
  <c r="J84" i="1"/>
  <c r="G85" i="1"/>
  <c r="J85" i="1" s="1"/>
  <c r="G86" i="1"/>
  <c r="J86" i="1" s="1"/>
  <c r="G87" i="1"/>
  <c r="J87" i="1"/>
  <c r="G88" i="1"/>
  <c r="J88" i="1"/>
  <c r="G89" i="1"/>
  <c r="J89" i="1"/>
  <c r="G90" i="1"/>
  <c r="J90" i="1"/>
  <c r="G91" i="1"/>
  <c r="J91" i="1" s="1"/>
  <c r="G92" i="1"/>
  <c r="J92" i="1" s="1"/>
  <c r="G93" i="1"/>
  <c r="J93" i="1"/>
  <c r="G94" i="1"/>
  <c r="J94" i="1"/>
  <c r="G95" i="1"/>
  <c r="J95" i="1"/>
  <c r="G96" i="1"/>
  <c r="J96" i="1"/>
  <c r="G97" i="1"/>
  <c r="J97" i="1" s="1"/>
  <c r="G98" i="1"/>
  <c r="J98" i="1" s="1"/>
  <c r="G99" i="1"/>
  <c r="J99" i="1"/>
  <c r="G100" i="1"/>
  <c r="J100" i="1"/>
  <c r="G101" i="1"/>
  <c r="J101" i="1"/>
  <c r="G102" i="1"/>
  <c r="J102" i="1"/>
  <c r="G103" i="1"/>
  <c r="J103" i="1" s="1"/>
  <c r="G104" i="1"/>
  <c r="J104" i="1" s="1"/>
  <c r="G105" i="1"/>
  <c r="J105" i="1"/>
  <c r="G106" i="1"/>
  <c r="J106" i="1"/>
  <c r="G107" i="1"/>
  <c r="J107" i="1"/>
  <c r="G108" i="1"/>
  <c r="J108" i="1"/>
  <c r="G109" i="1"/>
  <c r="J109" i="1" s="1"/>
  <c r="G110" i="1"/>
  <c r="J110" i="1" s="1"/>
  <c r="G111" i="1"/>
  <c r="J111" i="1"/>
  <c r="G112" i="1"/>
  <c r="J112" i="1"/>
  <c r="G113" i="1"/>
  <c r="J113" i="1"/>
  <c r="G114" i="1"/>
  <c r="J114" i="1"/>
  <c r="G115" i="1"/>
  <c r="J115" i="1" s="1"/>
  <c r="G116" i="1"/>
  <c r="J116" i="1" s="1"/>
  <c r="G117" i="1"/>
  <c r="J117" i="1"/>
  <c r="G118" i="1"/>
  <c r="J118" i="1"/>
  <c r="G119" i="1"/>
  <c r="J119" i="1"/>
  <c r="G120" i="1"/>
  <c r="J120" i="1"/>
  <c r="G121" i="1"/>
  <c r="D122" i="1"/>
  <c r="E122" i="1"/>
  <c r="F122" i="1"/>
  <c r="I122" i="1"/>
  <c r="G123" i="1"/>
  <c r="H123" i="1"/>
  <c r="D124" i="1"/>
  <c r="E124" i="1"/>
  <c r="E125" i="1" s="1"/>
  <c r="F124" i="1"/>
  <c r="I124" i="1"/>
  <c r="B10" i="3" l="1"/>
  <c r="B14" i="3" s="1"/>
  <c r="B58" i="3"/>
  <c r="B59" i="3" s="1"/>
  <c r="C124" i="1"/>
  <c r="C125" i="1" s="1"/>
  <c r="G36" i="1"/>
  <c r="J36" i="1" s="1"/>
  <c r="J124" i="1" s="1"/>
  <c r="C9" i="2"/>
  <c r="B11" i="2" s="1"/>
  <c r="H124" i="1"/>
  <c r="J18" i="1"/>
  <c r="G124" i="1" l="1"/>
  <c r="G125" i="1" s="1"/>
  <c r="J122" i="1"/>
  <c r="G122" i="1"/>
  <c r="B15" i="3"/>
  <c r="B20" i="3" s="1"/>
  <c r="B19" i="3"/>
  <c r="B31" i="3" s="1"/>
  <c r="B32" i="3" s="1"/>
  <c r="B43" i="3" s="1"/>
  <c r="J125" i="1"/>
  <c r="J12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<sst xmlns="http://schemas.openxmlformats.org/spreadsheetml/2006/main" count="347" uniqueCount="240">
  <si>
    <t>TRIAL BALANCE CHECK:</t>
  </si>
  <si>
    <t>GRAND TOTALS:</t>
  </si>
  <si>
    <t>TOTAL EXPENSES:</t>
  </si>
  <si>
    <t>YES</t>
  </si>
  <si>
    <t>Miscellaneous Operating Expense</t>
  </si>
  <si>
    <t>NO</t>
  </si>
  <si>
    <t>Charitable Donations &amp; Sponsorships</t>
  </si>
  <si>
    <t>Customer Relations &amp; Gifts</t>
  </si>
  <si>
    <t>Uniforms &amp; Safety Equipment</t>
  </si>
  <si>
    <t>Employee Training &amp; Development</t>
  </si>
  <si>
    <t>Business Licenses &amp; Permits</t>
  </si>
  <si>
    <t>OTHER OPERATING EXPENSES</t>
  </si>
  <si>
    <t>Bad Debt Expense</t>
  </si>
  <si>
    <t>Depreciation - Equipment</t>
  </si>
  <si>
    <t>Depreciation - Vehicles</t>
  </si>
  <si>
    <t>Depreciation - Buildings</t>
  </si>
  <si>
    <t>DEPRECIATION &amp; NON-CASH</t>
  </si>
  <si>
    <t>Interest - Vehicle Financing</t>
  </si>
  <si>
    <t>Interest - Term Loan</t>
  </si>
  <si>
    <t>Interest - Operating Line of Credit</t>
  </si>
  <si>
    <t>Credit Card Merchant Fees</t>
  </si>
  <si>
    <t>Bank Service Charges</t>
  </si>
  <si>
    <t>BANK &amp; FINANCIAL</t>
  </si>
  <si>
    <t>Professional Memberships &amp; Dues</t>
  </si>
  <si>
    <t>Conference &amp; Training Registration</t>
  </si>
  <si>
    <t>Vehicle Mileage Reimbursement</t>
  </si>
  <si>
    <t>PARTIAL</t>
  </si>
  <si>
    <t>Meals &amp; Entertainment (50% rule)</t>
  </si>
  <si>
    <t>Travel - Accommodation</t>
  </si>
  <si>
    <t>Travel - Airfare</t>
  </si>
  <si>
    <t>TRAVEL &amp; ENTERTAINMENT</t>
  </si>
  <si>
    <t>Photography &amp; Videography</t>
  </si>
  <si>
    <t>Trade Shows &amp; Events</t>
  </si>
  <si>
    <t>Promotional Materials &amp; Signage</t>
  </si>
  <si>
    <t>Website Hosting &amp; Maintenance</t>
  </si>
  <si>
    <t>Advertising - Print, Radio &amp; TV</t>
  </si>
  <si>
    <t>Advertising - Digital (Google/Facebook)</t>
  </si>
  <si>
    <t>MARKETING &amp; ADVERTISING</t>
  </si>
  <si>
    <t>Payroll Processing Services</t>
  </si>
  <si>
    <t>IT Services &amp; Technical Support</t>
  </si>
  <si>
    <t>Consulting Fees</t>
  </si>
  <si>
    <t>Accounting &amp; Bookkeeping</t>
  </si>
  <si>
    <t>Legal Fees</t>
  </si>
  <si>
    <t>PROFESSIONAL SERVICES</t>
  </si>
  <si>
    <t>Subscriptions &amp; Publications</t>
  </si>
  <si>
    <t>Printing &amp; Copying</t>
  </si>
  <si>
    <t>Telephone &amp; Internet</t>
  </si>
  <si>
    <t>Computer Software &amp; Licenses</t>
  </si>
  <si>
    <t>Computer Equipment &amp; Hardware</t>
  </si>
  <si>
    <t>Postage &amp; Courier Services</t>
  </si>
  <si>
    <t>Office Supplies &amp; Stationery</t>
  </si>
  <si>
    <t>OFFICE &amp; ADMINISTRATIVE</t>
  </si>
  <si>
    <t>Small Tools &amp; Equipment</t>
  </si>
  <si>
    <t>Equipment Rental &amp; Leasing</t>
  </si>
  <si>
    <t>Equipment Repairs &amp; Maintenance</t>
  </si>
  <si>
    <t>Vehicle Licenses &amp; Registration</t>
  </si>
  <si>
    <t>Vehicle Insurance</t>
  </si>
  <si>
    <t>Vehicle Repairs &amp; Maintenance</t>
  </si>
  <si>
    <t>Fuel - Demo Vehicles</t>
  </si>
  <si>
    <t>Fuel - Company Vehicles</t>
  </si>
  <si>
    <t>VEHICLE &amp; EQUIPMENT</t>
  </si>
  <si>
    <t>Waste Removal &amp; Recycling</t>
  </si>
  <si>
    <t>Security Services</t>
  </si>
  <si>
    <t>Janitorial &amp; Cleaning Services</t>
  </si>
  <si>
    <t>Building Repairs &amp; Maintenance</t>
  </si>
  <si>
    <t>Property Insurance</t>
  </si>
  <si>
    <t>Utilities - Water &amp; Sewer</t>
  </si>
  <si>
    <t>Utilities - Gas/Heating</t>
  </si>
  <si>
    <t>Utilities - Electricity</t>
  </si>
  <si>
    <t>Property Taxes</t>
  </si>
  <si>
    <t>Rent - Building</t>
  </si>
  <si>
    <t>OCCUPANCY COSTS</t>
  </si>
  <si>
    <t>EHT (Employer Health Tax)</t>
  </si>
  <si>
    <t>WSIB Premiums</t>
  </si>
  <si>
    <t>EI Employer Portion</t>
  </si>
  <si>
    <t>CPP Employer Portion</t>
  </si>
  <si>
    <t>Employee Benefits - Dental</t>
  </si>
  <si>
    <t>Employee Benefits - Health Insurance</t>
  </si>
  <si>
    <t>Overtime Pay</t>
  </si>
  <si>
    <t>Salaries &amp; Wages</t>
  </si>
  <si>
    <t>PAYROLL &amp; BENEFITS</t>
  </si>
  <si>
    <t>Freight &amp; Delivery</t>
  </si>
  <si>
    <t>COGS - Parts</t>
  </si>
  <si>
    <t>COGS - Used Vehicles</t>
  </si>
  <si>
    <t>COGS - New Vehicles</t>
  </si>
  <si>
    <t>COST OF GOODS SOLD</t>
  </si>
  <si>
    <t>N/A</t>
  </si>
  <si>
    <t>Parts Revenue</t>
  </si>
  <si>
    <t>Service Revenue</t>
  </si>
  <si>
    <t>Sales Revenue - Used Vehicles</t>
  </si>
  <si>
    <t>Sales Revenue - New Vehicles</t>
  </si>
  <si>
    <t>REVENUE</t>
  </si>
  <si>
    <t>Owner's Equity</t>
  </si>
  <si>
    <t>EQUITY</t>
  </si>
  <si>
    <t>Long-term Debt</t>
  </si>
  <si>
    <t>Interest Payable</t>
  </si>
  <si>
    <t>Payroll Liabilities</t>
  </si>
  <si>
    <t>HST Payable</t>
  </si>
  <si>
    <t>Credit Card Payable</t>
  </si>
  <si>
    <t>Accounts Payable</t>
  </si>
  <si>
    <t>LIABILITIES</t>
  </si>
  <si>
    <t>Accumulated Depreciation</t>
  </si>
  <si>
    <t>Property, Plant &amp; Equipment</t>
  </si>
  <si>
    <t>Prepaid Insurance</t>
  </si>
  <si>
    <t>Inventory - Parts</t>
  </si>
  <si>
    <t>Inventory - Used Vehicles</t>
  </si>
  <si>
    <t>Inventory - New Vehicles</t>
  </si>
  <si>
    <t>Allowance for Doubtful Accounts</t>
  </si>
  <si>
    <t>Accounts Receivable</t>
  </si>
  <si>
    <t>Petty Cash</t>
  </si>
  <si>
    <t>Cash</t>
  </si>
  <si>
    <t>ASSETS</t>
  </si>
  <si>
    <t>ITC_Amount</t>
  </si>
  <si>
    <t>HST_Eligible</t>
  </si>
  <si>
    <t>Adjusted_Credit</t>
  </si>
  <si>
    <t>Adjusted_Debit</t>
  </si>
  <si>
    <t>Adjustments_Credit</t>
  </si>
  <si>
    <t>Adjustments_Debit</t>
  </si>
  <si>
    <t>Unadjusted_Credit</t>
  </si>
  <si>
    <t>Unadjusted_Debit</t>
  </si>
  <si>
    <t>Account_Name</t>
  </si>
  <si>
    <t>Account_No</t>
  </si>
  <si>
    <t>Last day of month following quarter</t>
  </si>
  <si>
    <t>Payment Due Date:</t>
  </si>
  <si>
    <t>Amount to remit to CRA</t>
  </si>
  <si>
    <t>HST PAYABLE:</t>
  </si>
  <si>
    <t>Net HST (Payable)/Refund</t>
  </si>
  <si>
    <t>Input Tax Credits (ITC)</t>
  </si>
  <si>
    <t>Total Purchases (excl. HST)</t>
  </si>
  <si>
    <t>Adjustments</t>
  </si>
  <si>
    <t>HST Collected (13%)</t>
  </si>
  <si>
    <t>Total Sales (excl. HST)</t>
  </si>
  <si>
    <t>Amount</t>
  </si>
  <si>
    <t>Description</t>
  </si>
  <si>
    <t>Line</t>
  </si>
  <si>
    <t>HST Return - Q4 2024 (October 1 - December 31, 2024)</t>
  </si>
  <si>
    <t>← This is what you owe CRA</t>
  </si>
  <si>
    <t>ENDING BALANCE (Credit)</t>
  </si>
  <si>
    <t>Less: ITCs Claimed (Debit)</t>
  </si>
  <si>
    <t>Plus: HST Collected (Credit)</t>
  </si>
  <si>
    <t>Opening Balance (Credit)</t>
  </si>
  <si>
    <t>NET EFFECT ON ACCOUNT 2100 (HST Payable):</t>
  </si>
  <si>
    <t>EFT payment to CRA</t>
  </si>
  <si>
    <t>JE-HST-03</t>
  </si>
  <si>
    <t>Payment to CRA Q4 2024</t>
  </si>
  <si>
    <t>Record Q4 HST collected</t>
  </si>
  <si>
    <t>JE-HST-02</t>
  </si>
  <si>
    <t>Remove HST from revenue</t>
  </si>
  <si>
    <t>Revenue Accounts</t>
  </si>
  <si>
    <t>Various</t>
  </si>
  <si>
    <t>ITCs on purchases</t>
  </si>
  <si>
    <t>Expense Accounts</t>
  </si>
  <si>
    <t>JE-HST-01</t>
  </si>
  <si>
    <t>Record Q4 ITCs</t>
  </si>
  <si>
    <t>Memo</t>
  </si>
  <si>
    <t>Credit</t>
  </si>
  <si>
    <t>Debit</t>
  </si>
  <si>
    <t>Account</t>
  </si>
  <si>
    <t>Entry</t>
  </si>
  <si>
    <t>Date</t>
  </si>
  <si>
    <t>JOURNAL ENTRIES " HST_Q4"</t>
  </si>
  <si>
    <t>Payment Method:</t>
  </si>
  <si>
    <t>Amount Paid:</t>
  </si>
  <si>
    <t>Confirmation Number:</t>
  </si>
  <si>
    <t>Payment Date:</t>
  </si>
  <si>
    <t>Payment Confirmation:</t>
  </si>
  <si>
    <t xml:space="preserve"> Cheque (mail to CRA)</t>
  </si>
  <si>
    <t>✅</t>
  </si>
  <si>
    <t xml:space="preserve"> Wire Transfer</t>
  </si>
  <si>
    <t xml:space="preserve"> Pre-authorized Debit</t>
  </si>
  <si>
    <t>CRA My Business Account - Online</t>
  </si>
  <si>
    <t>PAYMENT METHOD:</t>
  </si>
  <si>
    <t>TOTAL AMOUNT TO PAY:</t>
  </si>
  <si>
    <t>Current Quarter (Q4 2024):</t>
  </si>
  <si>
    <t>Previous Balance Owing:</t>
  </si>
  <si>
    <t>AMOUNT BREAKDOWN: (From account 2100)</t>
  </si>
  <si>
    <t>Return Due Date:</t>
  </si>
  <si>
    <t>Q4 2024 (Oct 1 - Dec 31, 2024)</t>
  </si>
  <si>
    <t>Reporting Period:</t>
  </si>
  <si>
    <t>ASDCCD123E55</t>
  </si>
  <si>
    <t>HST Registration Number:</t>
  </si>
  <si>
    <t>Payment Details:</t>
  </si>
  <si>
    <t>TOTAL TO REMIT NOW:</t>
  </si>
  <si>
    <t>(Q4 2024)</t>
  </si>
  <si>
    <t>Current period owing</t>
  </si>
  <si>
    <t>(Should have been paid already)</t>
  </si>
  <si>
    <t>Previous period owing</t>
  </si>
  <si>
    <t>BREAKDOWN:</t>
  </si>
  <si>
    <t>Amount owing to CRA</t>
  </si>
  <si>
    <t>TOTAL HST PAYABLE</t>
  </si>
  <si>
    <t>Plus: Net HST Q4</t>
  </si>
  <si>
    <t>Opening Balance</t>
  </si>
  <si>
    <t>ENDING BALANCE CALCULATION:</t>
  </si>
  <si>
    <t>Net HST for Quarter</t>
  </si>
  <si>
    <t>(Debit - CRA owes you)</t>
  </si>
  <si>
    <t>Less: Input Tax Credits</t>
  </si>
  <si>
    <t>(Credit - you owe CRA)</t>
  </si>
  <si>
    <t>HST Collected on Sales</t>
  </si>
  <si>
    <t>ACTIVITY THIS QUARTER:</t>
  </si>
  <si>
    <t>(Credit balance from previous period)</t>
  </si>
  <si>
    <t>Account 2100 - HST Payable</t>
  </si>
  <si>
    <t>OPENING BALANCE (from Trial Balance):</t>
  </si>
  <si>
    <t>Notes</t>
  </si>
  <si>
    <t>Balance</t>
  </si>
  <si>
    <t>Discription</t>
  </si>
  <si>
    <t>Period: Q4 2024 (Oct 1 - Dec 31, 2024)</t>
  </si>
  <si>
    <t>HST PAYABLE ACCOUNT RECONCILIATION</t>
  </si>
  <si>
    <t>Annual return even if $0</t>
  </si>
  <si>
    <t>Yes</t>
  </si>
  <si>
    <t>Filing Required?</t>
  </si>
  <si>
    <t>Payroll &lt; $1M and &lt; $5M group threshold</t>
  </si>
  <si>
    <t>Eligible for Exemption?</t>
  </si>
  <si>
    <t>Assumed single entity; if group &gt; $5M total payroll → $0 exemption</t>
  </si>
  <si>
    <t>No</t>
  </si>
  <si>
    <t>Associated Employers?</t>
  </si>
  <si>
    <t>EHT Payable</t>
  </si>
  <si>
    <t>Standard rate on taxable payroll</t>
  </si>
  <si>
    <t>EHT Rate</t>
  </si>
  <si>
    <t>Taxable Payroll Amount</t>
  </si>
  <si>
    <t>$1,000,000 - permanent since 2020</t>
  </si>
  <si>
    <t>EHT Exemption Threshold (2024)</t>
  </si>
  <si>
    <t>SUM of Salaries &amp; Wages ($288,400) + Overtime ($5,000) from trial balance</t>
  </si>
  <si>
    <t>Total Gross Payroll (Ontario)</t>
  </si>
  <si>
    <t>Calculation / Notes</t>
  </si>
  <si>
    <t>Employer Health Tax (EHT) - Ontario 2024</t>
  </si>
  <si>
    <t>Typically with WSIB filing</t>
  </si>
  <si>
    <t>Annual return</t>
  </si>
  <si>
    <t>Due Date</t>
  </si>
  <si>
    <t>Journal Entry - Credit Account</t>
  </si>
  <si>
    <t>Journal Entry - Debit Account</t>
  </si>
  <si>
    <t>Report via WSIB online account</t>
  </si>
  <si>
    <t>Annual</t>
  </si>
  <si>
    <t>Payment Status</t>
  </si>
  <si>
    <t>293400 * 0.85 / 100</t>
  </si>
  <si>
    <t>Annual Premium Due</t>
  </si>
  <si>
    <t>2024 Ontario rate - Automobile &amp; Truck Dealers classification</t>
  </si>
  <si>
    <t>WSIB Rate (per $100 payroll)</t>
  </si>
  <si>
    <t>=SUM of Salaries &amp; Wages + Overtime (288400 + 5000)</t>
  </si>
  <si>
    <t>Total Gross Payroll</t>
  </si>
  <si>
    <t>WSIB Annual Premium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</si>
</sst>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4" fontId="3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0" fontId="3" fillId="0" borderId="0" xfId="0" applyFont="1"/>
    <xf numFmtId="0" fontId="4" fillId="0" borderId="0" xfId="0" applyFont="1"/>
    <xf numFmtId="4" fontId="4" fillId="0" borderId="0" xfId="0" applyNumberFormat="1" applyFont="1"/>
    <xf numFmtId="4" fontId="2" fillId="0" borderId="0" xfId="0" applyNumberFormat="1" applyFont="1"/>
    <xf numFmtId="0" fontId="5" fillId="0" borderId="0" xfId="0" applyFont="1"/>
    <xf numFmtId="0" fontId="6" fillId="0" borderId="0" xfId="0" applyFont="1"/>
    <xf numFmtId="4" fontId="5" fillId="0" borderId="0" xfId="0" applyNumberFormat="1" applyFont="1"/>
    <xf numFmtId="6" fontId="0" fillId="0" borderId="0" xfId="0" applyNumberFormat="1"/>
    <xf numFmtId="0" fontId="7" fillId="0" borderId="0" xfId="0" applyFont="1"/>
    <xf numFmtId="8" fontId="0" fillId="0" borderId="0" xfId="0" applyNumberFormat="1"/>
    <xf numFmtId="0" fontId="8" fillId="0" borderId="0" xfId="0" applyFont="1"/>
    <xf numFmtId="14" fontId="8" fillId="0" borderId="0" xfId="0" applyNumberFormat="1" applyFont="1"/>
    <xf numFmtId="4" fontId="7" fillId="0" borderId="0" xfId="0" applyNumberFormat="1" applyFont="1"/>
    <xf numFmtId="6" fontId="7" fillId="0" borderId="0" xfId="0" applyNumberFormat="1" applyFont="1"/>
    <xf numFmtId="14" fontId="0" fillId="0" borderId="0" xfId="0" applyNumberFormat="1"/>
    <xf numFmtId="0" fontId="9" fillId="0" borderId="0" xfId="0" applyFont="1"/>
    <xf numFmtId="0" fontId="10" fillId="0" borderId="0" xfId="0" applyFont="1"/>
    <xf numFmtId="14" fontId="1" fillId="0" borderId="0" xfId="0" applyNumberFormat="1" applyFont="1"/>
    <xf numFmtId="0" fontId="0" fillId="0" borderId="0" xfId="0" applyAlignment="1">
      <alignment horizontal="center" vertical="center"/>
    </xf>
    <xf numFmtId="15" fontId="0" fillId="0" borderId="0" xfId="0" applyNumberFormat="1"/>
    <xf numFmtId="10" fontId="0" fillId="0" borderId="0" xfId="0" applyNumberFormat="1"/>
    <xf numFmtId="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13</xdr:row>
      <xdr:rowOff>30480</xdr:rowOff>
    </xdr:from>
    <xdr:to>
      <xdr:col>9</xdr:col>
      <xdr:colOff>365760</xdr:colOff>
      <xdr:row>17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19A1E8-C355-42F5-9A83-6BDA18B0A7C2}"/>
            </a:ext>
          </a:extLst>
        </xdr:cNvPr>
        <xdr:cNvSpPr txBox="1"/>
      </xdr:nvSpPr>
      <xdr:spPr>
        <a:xfrm>
          <a:off x="1874520" y="2407920"/>
          <a:ext cx="3977640" cy="853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b="1">
              <a:solidFill>
                <a:srgbClr val="FF0000"/>
              </a:solidFill>
              <a:effectLst/>
            </a:rPr>
            <a:t>NOTE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b="1">
              <a:effectLst/>
            </a:rPr>
            <a:t>Based on 2024 Ontario rules, with total payroll of $293,400 (well below the $1,000,000 exemption threshold), EHT payable = $0.00. Employer must still file annual return to claim exemption."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65046-05B3-4885-A386-483B1D9C531C}" name="Table3" displayName="Table3" ref="A1:J124" totalsRowShown="0">
  <autoFilter ref="A1:J124" xr:uid="{D42A0240-F995-4926-BCDF-446EEB1813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2945A67-9821-4494-AEE1-8F552A14FEC0}" name="Account_No"/>
    <tableColumn id="2" xr3:uid="{99DE3F24-E289-4E4A-8006-6874BD5761EC}" name="Account_Name"/>
    <tableColumn id="3" xr3:uid="{A5D9F220-3360-4ABF-8DBE-9636B61A44AB}" name="Unadjusted_Debit" dataDxfId="8"/>
    <tableColumn id="4" xr3:uid="{060345FC-A746-4267-AF93-6F209F2D5D39}" name="Unadjusted_Credit"/>
    <tableColumn id="5" xr3:uid="{8FC76AD6-F98A-495A-81CA-BAC1FAE1F2E5}" name="Adjustments_Debit" dataDxfId="7"/>
    <tableColumn id="6" xr3:uid="{A00413A3-FB23-4371-89E1-2BDF4721456E}" name="Adjustments_Credit" dataDxfId="6"/>
    <tableColumn id="7" xr3:uid="{8CC48D0F-E833-453F-8C4F-34BF94E5A655}" name="Adjusted_Debit" dataDxfId="5"/>
    <tableColumn id="8" xr3:uid="{D277ED67-6BB9-421E-A152-28E25E137964}" name="Adjusted_Credit" dataDxfId="4"/>
    <tableColumn id="9" xr3:uid="{9EB151A2-81DE-47A4-88F7-2A60790B6C7A}" name="HST_Eligible"/>
    <tableColumn id="10" xr3:uid="{64DEE77F-0A62-48B6-BB2F-23F5AC88CB93}" name="ITC_Amount" dataDxfId="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A922A-FF15-458E-885D-020943A3E382}" name="Table5" displayName="Table5" ref="A3:C9" totalsRowShown="0">
  <autoFilter ref="A3:C9" xr:uid="{FCE2F05E-21B1-4341-915C-7CF6EF3C9AB9}">
    <filterColumn colId="0" hiddenButton="1"/>
    <filterColumn colId="1" hiddenButton="1"/>
    <filterColumn colId="2" hiddenButton="1"/>
  </autoFilter>
  <tableColumns count="3">
    <tableColumn id="1" xr3:uid="{46FC7FA6-140F-4EAD-B4F9-39CE0747CF41}" name="Line"/>
    <tableColumn id="2" xr3:uid="{85F1C4D9-00DD-481B-B206-F75DA0258603}" name="Description"/>
    <tableColumn id="3" xr3:uid="{ECEB8EDA-E9BC-4D7C-A38E-6C45108B43BA}" name="Amount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88F5AB-469A-4B3A-8B77-3E4A9E4FF6E1}" name="Table12" displayName="Table12" ref="A3:C20" totalsRowShown="0">
  <autoFilter ref="A3:C20" xr:uid="{B73EF890-E6B5-4D84-976F-0BB7B58634E5}">
    <filterColumn colId="0" hiddenButton="1"/>
    <filterColumn colId="1" hiddenButton="1"/>
    <filterColumn colId="2" hiddenButton="1"/>
  </autoFilter>
  <tableColumns count="3">
    <tableColumn id="1" xr3:uid="{8859624A-3D80-4221-BBAD-94E6643D848C}" name="Discription"/>
    <tableColumn id="2" xr3:uid="{03B610CD-3866-44EC-8895-AC7DED13CF08}" name="Balance" dataDxfId="1"/>
    <tableColumn id="3" xr3:uid="{DD981F47-4CD0-4330-8967-222F1AE88288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0ECDE7-3406-459E-A7E7-828BE01432B8}" name="Table16" displayName="Table16" ref="A47:G53" totalsRowShown="0">
  <autoFilter ref="A47:G53" xr:uid="{88D850ED-8BC1-4875-BB75-26AA626C76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C706983-6C3E-4946-A5BA-9F3F51EE19E8}" name="Date"/>
    <tableColumn id="2" xr3:uid="{DD2C45C8-53A8-40A6-AB5B-E33D6EA487C6}" name="Entry"/>
    <tableColumn id="3" xr3:uid="{5913E718-0B81-490F-B1B7-866C08755B5D}" name="Account"/>
    <tableColumn id="4" xr3:uid="{F5636591-992F-4B63-82E4-7D4B3F2C137A}" name="Account_Name"/>
    <tableColumn id="5" xr3:uid="{3D484F61-5265-4C5D-9796-0A3709210958}" name="Debit"/>
    <tableColumn id="6" xr3:uid="{1348C0F0-F2C7-4863-A46F-238D403182EF}" name="Credit"/>
    <tableColumn id="7" xr3:uid="{093114DC-CBF9-441F-AC8B-B4AAC1719A08}" name="Mem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19A360-C704-4A40-A2D4-019A2E676900}" name="Table17" displayName="Table17" ref="A55:B59" totalsRowShown="0">
  <autoFilter ref="A55:B59" xr:uid="{84E4F456-2701-4DC3-95A6-28E291E3042C}">
    <filterColumn colId="0" hiddenButton="1"/>
    <filterColumn colId="1" hiddenButton="1"/>
  </autoFilter>
  <tableColumns count="2">
    <tableColumn id="1" xr3:uid="{7E57ECA0-56CF-4600-A69D-6BEAE3BA5203}" name="NET EFFECT ON ACCOUNT 2100 (HST Payable):"/>
    <tableColumn id="2" xr3:uid="{E27E4694-28D4-423F-90E0-840DF2EBBB76}" name="Amount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B53A95-9EEC-43AA-97EA-7C6F1C94661B}" name="Table1821" displayName="Table1821" ref="A22:B44" totalsRowShown="0">
  <autoFilter ref="A22:B44" xr:uid="{016510A8-C559-47FA-B6E0-22ED1961D915}">
    <filterColumn colId="0" hiddenButton="1"/>
    <filterColumn colId="1" hiddenButton="1"/>
  </autoFilter>
  <tableColumns count="2">
    <tableColumn id="1" xr3:uid="{C1A8D873-A9EE-45A7-9542-08793B12EA4D}" name="Description"/>
    <tableColumn id="2" xr3:uid="{B897AF53-ADDD-4A2A-A9B9-509D966E5E61}" name="Am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73557E-8370-4F76-841D-AD83C3F54076}" name="Table21" displayName="Table21" ref="A2:C9" totalsRowShown="0">
  <autoFilter ref="A2:C9" xr:uid="{089AAA71-661B-4FB5-A1D1-23803CA3CB9B}">
    <filterColumn colId="0" hiddenButton="1"/>
    <filterColumn colId="1" hiddenButton="1"/>
    <filterColumn colId="2" hiddenButton="1"/>
  </autoFilter>
  <tableColumns count="3">
    <tableColumn id="1" xr3:uid="{1216FEF2-D808-47F3-A65E-0702D6617B5F}" name="Description"/>
    <tableColumn id="2" xr3:uid="{2DB8E01C-AC37-4314-B805-4FF459EF8DB8}" name="Amount"/>
    <tableColumn id="3" xr3:uid="{55CC44E6-CFB9-4DDC-857A-B01C818F3772}" name="Calculation / 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773EAB-1DCB-4CB2-BA66-6A1EA81399A9}" name="Table22" displayName="Table22" ref="A12:C20" totalsRowShown="0">
  <autoFilter ref="A12:C20" xr:uid="{EB04FF2F-B762-4DCE-BD53-B821D0D48F4A}">
    <filterColumn colId="0" hiddenButton="1"/>
    <filterColumn colId="1" hiddenButton="1"/>
    <filterColumn colId="2" hiddenButton="1"/>
  </autoFilter>
  <tableColumns count="3">
    <tableColumn id="1" xr3:uid="{365F3BCD-6848-47B8-858D-D7376A30829C}" name="Description"/>
    <tableColumn id="2" xr3:uid="{7A29C93F-2AB5-41DE-BD27-D269BFDFFABF}" name="Amount"/>
    <tableColumn id="3" xr3:uid="{E047E9C4-482F-437F-86B2-F6B8A4E19C5A}" name="Calculation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669E-B6E2-410A-878E-F4742CBE8CB3}">
  <dimension ref="A1:L135"/>
  <sheetViews>
    <sheetView tabSelected="1" topLeftCell="A20" zoomScale="99" workbookViewId="0">
      <selection activeCell="H39" sqref="H39"/>
    </sheetView>
  </sheetViews>
  <sheetFormatPr defaultRowHeight="14.4" x14ac:dyDescent="0.3"/>
  <cols>
    <col min="1" max="1" width="25.88671875" bestFit="1" customWidth="1"/>
    <col min="2" max="2" width="32.33203125" bestFit="1" customWidth="1"/>
    <col min="3" max="3" width="16" bestFit="1" customWidth="1"/>
    <col min="4" max="4" width="16.6640625" bestFit="1" customWidth="1"/>
    <col min="5" max="5" width="17" bestFit="1" customWidth="1"/>
    <col min="6" max="6" width="17.77734375" bestFit="1" customWidth="1"/>
    <col min="7" max="7" width="13.88671875" bestFit="1" customWidth="1"/>
    <col min="8" max="8" width="14.5546875" bestFit="1" customWidth="1"/>
    <col min="9" max="9" width="11.6640625" bestFit="1" customWidth="1"/>
    <col min="10" max="10" width="11.6640625" style="1" bestFit="1" customWidth="1"/>
  </cols>
  <sheetData>
    <row r="1" spans="1:12" x14ac:dyDescent="0.3">
      <c r="A1" t="s">
        <v>121</v>
      </c>
      <c r="B1" t="s">
        <v>120</v>
      </c>
      <c r="C1" t="s">
        <v>119</v>
      </c>
      <c r="D1" t="s">
        <v>118</v>
      </c>
      <c r="E1" t="s">
        <v>117</v>
      </c>
      <c r="F1" t="s">
        <v>116</v>
      </c>
      <c r="G1" t="s">
        <v>115</v>
      </c>
      <c r="H1" t="s">
        <v>114</v>
      </c>
      <c r="I1" t="s">
        <v>113</v>
      </c>
      <c r="J1" s="1" t="s">
        <v>112</v>
      </c>
    </row>
    <row r="2" spans="1:12" s="2" customFormat="1" x14ac:dyDescent="0.3">
      <c r="A2" s="2" t="s">
        <v>111</v>
      </c>
      <c r="E2" s="11"/>
      <c r="F2" s="11"/>
      <c r="G2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" s="1" t="str">
        <f>IF(Table3[[#This Row],[Unadjusted_Credit]]&gt;0,Table3[[#This Row],[Unadjusted_Credit]]+Table3[[#This Row],[Adjustments_Credit]]-Table3[[#This Row],[Adjustments_Debit]],"")</f>
        <v/>
      </c>
      <c r="J2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  <c r="K2"/>
    </row>
    <row r="3" spans="1:12" x14ac:dyDescent="0.3">
      <c r="A3">
        <v>1000</v>
      </c>
      <c r="B3" t="s">
        <v>110</v>
      </c>
      <c r="C3" s="5">
        <v>82875.5</v>
      </c>
      <c r="E3" s="10"/>
      <c r="F3" s="10">
        <v>375</v>
      </c>
      <c r="G3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82500.5</v>
      </c>
      <c r="H3" s="1" t="str">
        <f>IF(Table3[[#This Row],[Unadjusted_Credit]]&gt;0,Table3[[#This Row],[Unadjusted_Credit]]+Table3[[#This Row],[Adjustments_Credit]]-Table3[[#This Row],[Adjustments_Debit]],"")</f>
        <v/>
      </c>
      <c r="I3" t="s">
        <v>86</v>
      </c>
      <c r="J3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  <c r="L3" s="2"/>
    </row>
    <row r="4" spans="1:12" x14ac:dyDescent="0.3">
      <c r="A4">
        <v>1010</v>
      </c>
      <c r="B4" t="s">
        <v>109</v>
      </c>
      <c r="C4">
        <v>500</v>
      </c>
      <c r="E4" s="10"/>
      <c r="F4" s="10"/>
      <c r="G4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500</v>
      </c>
      <c r="H4" s="1" t="str">
        <f>IF(Table3[[#This Row],[Unadjusted_Credit]]&gt;0,Table3[[#This Row],[Unadjusted_Credit]]+Table3[[#This Row],[Adjustments_Credit]]-Table3[[#This Row],[Adjustments_Debit]],"")</f>
        <v/>
      </c>
      <c r="I4" t="s">
        <v>86</v>
      </c>
      <c r="J4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5" spans="1:12" x14ac:dyDescent="0.3">
      <c r="A5">
        <v>1100</v>
      </c>
      <c r="B5" t="s">
        <v>108</v>
      </c>
      <c r="C5" s="5">
        <v>715200</v>
      </c>
      <c r="E5" s="10">
        <v>350</v>
      </c>
      <c r="F5" s="10"/>
      <c r="G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715550</v>
      </c>
      <c r="H5" s="1" t="str">
        <f>IF(Table3[[#This Row],[Unadjusted_Credit]]&gt;0,Table3[[#This Row],[Unadjusted_Credit]]+Table3[[#This Row],[Adjustments_Credit]]-Table3[[#This Row],[Adjustments_Debit]],"")</f>
        <v/>
      </c>
      <c r="I5" t="s">
        <v>86</v>
      </c>
      <c r="J5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6" spans="1:12" x14ac:dyDescent="0.3">
      <c r="A6">
        <v>1110</v>
      </c>
      <c r="B6" t="s">
        <v>107</v>
      </c>
      <c r="D6" s="5">
        <v>12000</v>
      </c>
      <c r="E6" s="10"/>
      <c r="F6" s="10">
        <v>652</v>
      </c>
      <c r="G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652</v>
      </c>
      <c r="H6" s="1">
        <f>IF(Table3[[#This Row],[Unadjusted_Credit]]&gt;0,Table3[[#This Row],[Unadjusted_Credit]]+Table3[[#This Row],[Adjustments_Credit]]-Table3[[#This Row],[Adjustments_Debit]],"")</f>
        <v>12652</v>
      </c>
      <c r="I6" t="s">
        <v>86</v>
      </c>
      <c r="J6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7" spans="1:12" x14ac:dyDescent="0.3">
      <c r="A7">
        <v>1200</v>
      </c>
      <c r="B7" t="s">
        <v>106</v>
      </c>
      <c r="C7" s="5">
        <v>450000</v>
      </c>
      <c r="E7" s="10"/>
      <c r="F7" s="10">
        <v>800</v>
      </c>
      <c r="G7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449200</v>
      </c>
      <c r="H7" s="1" t="str">
        <f>IF(Table3[[#This Row],[Unadjusted_Credit]]&gt;0,Table3[[#This Row],[Unadjusted_Credit]]+Table3[[#This Row],[Adjustments_Credit]]-Table3[[#This Row],[Adjustments_Debit]],"")</f>
        <v/>
      </c>
      <c r="I7" t="s">
        <v>86</v>
      </c>
      <c r="J7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8" spans="1:12" x14ac:dyDescent="0.3">
      <c r="A8">
        <v>1210</v>
      </c>
      <c r="B8" t="s">
        <v>105</v>
      </c>
      <c r="C8" s="5">
        <v>125000</v>
      </c>
      <c r="E8" s="10"/>
      <c r="F8" s="10"/>
      <c r="G8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125000</v>
      </c>
      <c r="H8" s="1" t="str">
        <f>IF(Table3[[#This Row],[Unadjusted_Credit]]&gt;0,Table3[[#This Row],[Unadjusted_Credit]]+Table3[[#This Row],[Adjustments_Credit]]-Table3[[#This Row],[Adjustments_Debit]],"")</f>
        <v/>
      </c>
      <c r="I8" t="s">
        <v>86</v>
      </c>
      <c r="J8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9" spans="1:12" x14ac:dyDescent="0.3">
      <c r="A9">
        <v>1220</v>
      </c>
      <c r="B9" t="s">
        <v>104</v>
      </c>
      <c r="C9" s="5">
        <v>45600</v>
      </c>
      <c r="E9" s="10"/>
      <c r="F9" s="10"/>
      <c r="G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45600</v>
      </c>
      <c r="H9" s="1" t="str">
        <f>IF(Table3[[#This Row],[Unadjusted_Credit]]&gt;0,Table3[[#This Row],[Unadjusted_Credit]]+Table3[[#This Row],[Adjustments_Credit]]-Table3[[#This Row],[Adjustments_Debit]],"")</f>
        <v/>
      </c>
      <c r="I9" t="s">
        <v>86</v>
      </c>
      <c r="J9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0" spans="1:12" x14ac:dyDescent="0.3">
      <c r="A10">
        <v>1300</v>
      </c>
      <c r="B10" t="s">
        <v>103</v>
      </c>
      <c r="C10" s="5">
        <v>7200</v>
      </c>
      <c r="E10" s="10"/>
      <c r="F10" s="10">
        <v>600</v>
      </c>
      <c r="G1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6600</v>
      </c>
      <c r="H10" s="1" t="str">
        <f>IF(Table3[[#This Row],[Unadjusted_Credit]]&gt;0,Table3[[#This Row],[Unadjusted_Credit]]+Table3[[#This Row],[Adjustments_Credit]]-Table3[[#This Row],[Adjustments_Debit]],"")</f>
        <v/>
      </c>
      <c r="I10" t="s">
        <v>86</v>
      </c>
      <c r="J10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1" spans="1:12" x14ac:dyDescent="0.3">
      <c r="A11">
        <v>1400</v>
      </c>
      <c r="B11" t="s">
        <v>102</v>
      </c>
      <c r="C11" s="5">
        <v>250000</v>
      </c>
      <c r="E11" s="10"/>
      <c r="F11" s="10"/>
      <c r="G11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250000</v>
      </c>
      <c r="H11" s="1" t="str">
        <f>IF(Table3[[#This Row],[Unadjusted_Credit]]&gt;0,Table3[[#This Row],[Unadjusted_Credit]]+Table3[[#This Row],[Adjustments_Credit]]-Table3[[#This Row],[Adjustments_Debit]],"")</f>
        <v/>
      </c>
      <c r="I11" t="s">
        <v>86</v>
      </c>
      <c r="J11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2" spans="1:12" x14ac:dyDescent="0.3">
      <c r="A12">
        <v>1410</v>
      </c>
      <c r="B12" t="s">
        <v>101</v>
      </c>
      <c r="D12" s="5">
        <v>95000</v>
      </c>
      <c r="E12" s="10"/>
      <c r="F12" s="12">
        <v>3750</v>
      </c>
      <c r="G1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3750</v>
      </c>
      <c r="H12" s="1">
        <f>IF(Table3[[#This Row],[Unadjusted_Credit]]&gt;0,Table3[[#This Row],[Unadjusted_Credit]]+Table3[[#This Row],[Adjustments_Credit]]-Table3[[#This Row],[Adjustments_Debit]],"")</f>
        <v>98750</v>
      </c>
      <c r="I12" t="s">
        <v>86</v>
      </c>
      <c r="J12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3" spans="1:12" x14ac:dyDescent="0.3">
      <c r="E13" s="10"/>
      <c r="F13" s="10"/>
      <c r="G13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3" s="1" t="str">
        <f>IF(Table3[[#This Row],[Unadjusted_Credit]]&gt;0,Table3[[#This Row],[Unadjusted_Credit]]+Table3[[#This Row],[Adjustments_Credit]]-Table3[[#This Row],[Adjustments_Debit]],"")</f>
        <v/>
      </c>
      <c r="J13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4" spans="1:12" s="2" customFormat="1" x14ac:dyDescent="0.3">
      <c r="A14" s="2" t="s">
        <v>100</v>
      </c>
      <c r="E14" s="11"/>
      <c r="F14" s="11"/>
      <c r="G14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4" s="1" t="str">
        <f>IF(Table3[[#This Row],[Unadjusted_Credit]]&gt;0,Table3[[#This Row],[Unadjusted_Credit]]+Table3[[#This Row],[Adjustments_Credit]]-Table3[[#This Row],[Adjustments_Debit]],"")</f>
        <v/>
      </c>
      <c r="J14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5" spans="1:12" x14ac:dyDescent="0.3">
      <c r="A15">
        <v>2000</v>
      </c>
      <c r="B15" t="s">
        <v>99</v>
      </c>
      <c r="D15" s="5">
        <v>125300</v>
      </c>
      <c r="E15" s="10"/>
      <c r="F15" s="10"/>
      <c r="G15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5" s="1">
        <f>IF(Table3[[#This Row],[Unadjusted_Credit]]&gt;0,Table3[[#This Row],[Unadjusted_Credit]]+Table3[[#This Row],[Adjustments_Credit]]-Table3[[#This Row],[Adjustments_Debit]],"")</f>
        <v>125300</v>
      </c>
      <c r="I15" t="s">
        <v>86</v>
      </c>
      <c r="J15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6" spans="1:12" x14ac:dyDescent="0.3">
      <c r="A16">
        <v>2010</v>
      </c>
      <c r="B16" t="s">
        <v>98</v>
      </c>
      <c r="D16" s="5">
        <v>5372</v>
      </c>
      <c r="E16" s="10"/>
      <c r="F16" s="10"/>
      <c r="G16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6" s="1">
        <f>IF(Table3[[#This Row],[Unadjusted_Credit]]&gt;0,Table3[[#This Row],[Unadjusted_Credit]]+Table3[[#This Row],[Adjustments_Credit]]-Table3[[#This Row],[Adjustments_Debit]],"")</f>
        <v>5372</v>
      </c>
      <c r="I16" t="s">
        <v>86</v>
      </c>
      <c r="J16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7" spans="1:10" x14ac:dyDescent="0.3">
      <c r="A17">
        <v>2100</v>
      </c>
      <c r="B17" t="s">
        <v>97</v>
      </c>
      <c r="D17" s="5">
        <v>16900</v>
      </c>
      <c r="E17" s="10"/>
      <c r="F17" s="10"/>
      <c r="G17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7" s="1">
        <f>IF(Table3[[#This Row],[Unadjusted_Credit]]&gt;0,Table3[[#This Row],[Unadjusted_Credit]]+Table3[[#This Row],[Adjustments_Credit]]-Table3[[#This Row],[Adjustments_Debit]],"")</f>
        <v>16900</v>
      </c>
      <c r="I17" t="s">
        <v>86</v>
      </c>
      <c r="J17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8" spans="1:10" x14ac:dyDescent="0.3">
      <c r="A18">
        <v>2200</v>
      </c>
      <c r="B18" t="s">
        <v>96</v>
      </c>
      <c r="D18" s="5">
        <v>18450</v>
      </c>
      <c r="E18" s="12">
        <v>3400</v>
      </c>
      <c r="F18" s="10"/>
      <c r="G18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3400</v>
      </c>
      <c r="H18" s="9">
        <f>Table3[[#This Row],[Adjusted_Debit]]+Table3[[#This Row],[Unadjusted_Credit]]</f>
        <v>21850</v>
      </c>
      <c r="I18" t="s">
        <v>86</v>
      </c>
      <c r="J18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9" spans="1:10" x14ac:dyDescent="0.3">
      <c r="A19">
        <v>2300</v>
      </c>
      <c r="B19" t="s">
        <v>95</v>
      </c>
      <c r="D19">
        <v>0</v>
      </c>
      <c r="E19" s="10"/>
      <c r="F19" s="10">
        <v>400</v>
      </c>
      <c r="G1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400</v>
      </c>
      <c r="H19" s="1">
        <v>400</v>
      </c>
      <c r="I19" t="s">
        <v>86</v>
      </c>
      <c r="J19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0" spans="1:10" x14ac:dyDescent="0.3">
      <c r="A20">
        <v>2400</v>
      </c>
      <c r="B20" t="s">
        <v>94</v>
      </c>
      <c r="D20" s="5">
        <v>80000</v>
      </c>
      <c r="E20" s="10"/>
      <c r="F20" s="10"/>
      <c r="G20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0" s="1">
        <f>IF(Table3[[#This Row],[Unadjusted_Credit]]&gt;0,Table3[[#This Row],[Unadjusted_Credit]]+Table3[[#This Row],[Adjustments_Credit]]-Table3[[#This Row],[Adjustments_Debit]],"")</f>
        <v>80000</v>
      </c>
      <c r="I20" t="s">
        <v>86</v>
      </c>
      <c r="J20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1" spans="1:10" x14ac:dyDescent="0.3">
      <c r="E21" s="10"/>
      <c r="F21" s="10"/>
      <c r="G21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1" s="1" t="str">
        <f>IF(Table3[[#This Row],[Unadjusted_Credit]]&gt;0,Table3[[#This Row],[Unadjusted_Credit]]+Table3[[#This Row],[Adjustments_Credit]]-Table3[[#This Row],[Adjustments_Debit]],"")</f>
        <v/>
      </c>
      <c r="J21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2" spans="1:10" s="2" customFormat="1" x14ac:dyDescent="0.3">
      <c r="A22" s="2" t="s">
        <v>93</v>
      </c>
      <c r="E22" s="11"/>
      <c r="F22" s="11"/>
      <c r="G22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2" s="1" t="str">
        <f>IF(Table3[[#This Row],[Unadjusted_Credit]]&gt;0,Table3[[#This Row],[Unadjusted_Credit]]+Table3[[#This Row],[Adjustments_Credit]]-Table3[[#This Row],[Adjustments_Debit]],"")</f>
        <v/>
      </c>
      <c r="J22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3" spans="1:10" x14ac:dyDescent="0.3">
      <c r="A23">
        <v>3000</v>
      </c>
      <c r="B23" t="s">
        <v>92</v>
      </c>
      <c r="D23" s="5">
        <v>450000</v>
      </c>
      <c r="E23" s="10"/>
      <c r="F23" s="10"/>
      <c r="G23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3" s="1">
        <f>IF(Table3[[#This Row],[Unadjusted_Credit]]&gt;0,Table3[[#This Row],[Unadjusted_Credit]]+Table3[[#This Row],[Adjustments_Credit]]-Table3[[#This Row],[Adjustments_Debit]],"")</f>
        <v>450000</v>
      </c>
      <c r="I23" t="s">
        <v>86</v>
      </c>
      <c r="J23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4" spans="1:10" x14ac:dyDescent="0.3">
      <c r="E24" s="10"/>
      <c r="F24" s="10"/>
      <c r="G24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4" s="1" t="str">
        <f>IF(Table3[[#This Row],[Unadjusted_Credit]]&gt;0,Table3[[#This Row],[Unadjusted_Credit]]+Table3[[#This Row],[Adjustments_Credit]]-Table3[[#This Row],[Adjustments_Debit]],"")</f>
        <v/>
      </c>
      <c r="J24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5" spans="1:10" s="2" customFormat="1" x14ac:dyDescent="0.3">
      <c r="A25" s="2" t="s">
        <v>91</v>
      </c>
      <c r="E25" s="11"/>
      <c r="F25" s="11"/>
      <c r="G25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5" s="1" t="str">
        <f>IF(Table3[[#This Row],[Unadjusted_Credit]]&gt;0,Table3[[#This Row],[Unadjusted_Credit]]+Table3[[#This Row],[Adjustments_Credit]]-Table3[[#This Row],[Adjustments_Debit]],"")</f>
        <v/>
      </c>
      <c r="J25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6" spans="1:10" x14ac:dyDescent="0.3">
      <c r="A26">
        <v>4000</v>
      </c>
      <c r="B26" t="s">
        <v>90</v>
      </c>
      <c r="D26" s="5">
        <v>1250000</v>
      </c>
      <c r="E26" s="10">
        <v>180</v>
      </c>
      <c r="F26" s="10"/>
      <c r="G2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180</v>
      </c>
      <c r="H26" s="1">
        <f>IF(Table3[[#This Row],[Unadjusted_Credit]]&gt;0,Table3[[#This Row],[Unadjusted_Credit]]+Table3[[#This Row],[Adjustments_Credit]]-Table3[[#This Row],[Adjustments_Debit]],"")</f>
        <v>1249820</v>
      </c>
      <c r="I26" t="s">
        <v>86</v>
      </c>
      <c r="J26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7" spans="1:10" x14ac:dyDescent="0.3">
      <c r="A27">
        <v>4010</v>
      </c>
      <c r="B27" t="s">
        <v>89</v>
      </c>
      <c r="D27" s="5">
        <v>485000</v>
      </c>
      <c r="E27" s="10"/>
      <c r="F27" s="10"/>
      <c r="G27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7" s="1">
        <f>IF(Table3[[#This Row],[Unadjusted_Credit]]&gt;0,Table3[[#This Row],[Unadjusted_Credit]]+Table3[[#This Row],[Adjustments_Credit]]-Table3[[#This Row],[Adjustments_Debit]],"")</f>
        <v>485000</v>
      </c>
      <c r="I27" t="s">
        <v>86</v>
      </c>
      <c r="J27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8" spans="1:10" x14ac:dyDescent="0.3">
      <c r="A28">
        <v>4020</v>
      </c>
      <c r="B28" t="s">
        <v>88</v>
      </c>
      <c r="D28" s="5">
        <v>325000</v>
      </c>
      <c r="E28" s="10"/>
      <c r="F28" s="10"/>
      <c r="G28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8" s="1">
        <f>IF(Table3[[#This Row],[Unadjusted_Credit]]&gt;0,Table3[[#This Row],[Unadjusted_Credit]]+Table3[[#This Row],[Adjustments_Credit]]-Table3[[#This Row],[Adjustments_Debit]],"")</f>
        <v>325000</v>
      </c>
      <c r="I28" t="s">
        <v>86</v>
      </c>
      <c r="J28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29" spans="1:10" x14ac:dyDescent="0.3">
      <c r="A29">
        <v>4030</v>
      </c>
      <c r="B29" t="s">
        <v>87</v>
      </c>
      <c r="D29" s="5">
        <v>158000</v>
      </c>
      <c r="E29" s="10"/>
      <c r="F29" s="10"/>
      <c r="G29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29" s="1">
        <f>IF(Table3[[#This Row],[Unadjusted_Credit]]&gt;0,Table3[[#This Row],[Unadjusted_Credit]]+Table3[[#This Row],[Adjustments_Credit]]-Table3[[#This Row],[Adjustments_Debit]],"")</f>
        <v>158000</v>
      </c>
      <c r="I29" t="s">
        <v>86</v>
      </c>
      <c r="J29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30" spans="1:10" x14ac:dyDescent="0.3">
      <c r="D30" s="5"/>
      <c r="E30" s="10"/>
      <c r="F30" s="10"/>
      <c r="G30" s="9"/>
      <c r="H30" s="1"/>
    </row>
    <row r="31" spans="1:10" s="2" customFormat="1" x14ac:dyDescent="0.3">
      <c r="A31" s="2" t="s">
        <v>85</v>
      </c>
      <c r="E31" s="11"/>
      <c r="F31" s="11"/>
      <c r="G31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31" s="1" t="str">
        <f>IF(Table3[[#This Row],[Unadjusted_Credit]]&gt;0,Table3[[#This Row],[Unadjusted_Credit]]+Table3[[#This Row],[Adjustments_Credit]]-Table3[[#This Row],[Adjustments_Debit]],"")</f>
        <v/>
      </c>
      <c r="J31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32" spans="1:10" x14ac:dyDescent="0.3">
      <c r="A32">
        <v>5000</v>
      </c>
      <c r="B32" t="s">
        <v>84</v>
      </c>
      <c r="C32" s="5">
        <v>850000</v>
      </c>
      <c r="E32" s="10"/>
      <c r="F32" s="10"/>
      <c r="G3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850000</v>
      </c>
      <c r="H32" s="1"/>
      <c r="I32" t="s">
        <v>3</v>
      </c>
      <c r="J32" s="1">
        <f>IF(Table3[[#This Row],[HST_Eligible]]="YES",Table3[[#This Row],[Adjusted_Debit]]*0.13,IF(Table3[[#This Row],[Adjusted_Debit]]="Partial",Table3[[#Headers],[Adjusted_Debit]]*0.13*0.5,IF(Table3[[#This Row],[HST_Eligible]]="NO",0,"")))</f>
        <v>110500</v>
      </c>
    </row>
    <row r="33" spans="1:10" x14ac:dyDescent="0.3">
      <c r="A33">
        <v>5001</v>
      </c>
      <c r="B33" t="s">
        <v>83</v>
      </c>
      <c r="C33" s="5">
        <v>275000</v>
      </c>
      <c r="E33" s="10"/>
      <c r="F33" s="10"/>
      <c r="G33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275000</v>
      </c>
      <c r="H33" s="1"/>
      <c r="I33" t="s">
        <v>3</v>
      </c>
      <c r="J33" s="1">
        <f>IF(Table3[[#This Row],[HST_Eligible]]="YES",Table3[[#This Row],[Adjusted_Debit]]*0.13,IF(Table3[[#This Row],[Adjusted_Debit]]="Partial",Table3[[#Headers],[Adjusted_Debit]]*0.13*0.5,IF(Table3[[#This Row],[HST_Eligible]]="NO",0,"")))</f>
        <v>35750</v>
      </c>
    </row>
    <row r="34" spans="1:10" x14ac:dyDescent="0.3">
      <c r="A34">
        <v>5002</v>
      </c>
      <c r="B34" t="s">
        <v>82</v>
      </c>
      <c r="C34" s="5">
        <v>50000</v>
      </c>
      <c r="E34" s="10"/>
      <c r="F34" s="10"/>
      <c r="G34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50000</v>
      </c>
      <c r="H34" s="1"/>
      <c r="I34" t="s">
        <v>3</v>
      </c>
      <c r="J34" s="1">
        <f>IF(Table3[[#This Row],[HST_Eligible]]="YES",Table3[[#This Row],[Adjusted_Debit]]*0.13,IF(Table3[[#This Row],[Adjusted_Debit]]="Partial",Table3[[#Headers],[Adjusted_Debit]]*0.13*0.5,IF(Table3[[#This Row],[HST_Eligible]]="NO",0,"")))</f>
        <v>6500</v>
      </c>
    </row>
    <row r="35" spans="1:10" x14ac:dyDescent="0.3">
      <c r="A35">
        <v>5003</v>
      </c>
      <c r="B35" t="s">
        <v>81</v>
      </c>
      <c r="C35" s="5">
        <v>8000</v>
      </c>
      <c r="E35" s="10"/>
      <c r="F35" s="10"/>
      <c r="G3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8000</v>
      </c>
      <c r="H35" s="1"/>
      <c r="I35" t="s">
        <v>3</v>
      </c>
      <c r="J35" s="1">
        <f>IF(Table3[[#This Row],[HST_Eligible]]="YES",Table3[[#This Row],[Adjusted_Debit]]*0.13,IF(Table3[[#This Row],[Adjusted_Debit]]="Partial",Table3[[#Headers],[Adjusted_Debit]]*0.13*0.5,IF(Table3[[#This Row],[HST_Eligible]]="NO",0,"")))</f>
        <v>1040</v>
      </c>
    </row>
    <row r="36" spans="1:10" x14ac:dyDescent="0.3">
      <c r="C36" s="5"/>
      <c r="E36" s="10"/>
      <c r="F36" s="10"/>
      <c r="G36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36" s="1"/>
      <c r="J36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37" spans="1:10" s="2" customFormat="1" x14ac:dyDescent="0.3">
      <c r="A37" s="2" t="s">
        <v>80</v>
      </c>
      <c r="E37" s="11"/>
      <c r="F37" s="11"/>
      <c r="G37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37" s="1"/>
      <c r="J37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38" spans="1:10" x14ac:dyDescent="0.3">
      <c r="A38">
        <v>5100</v>
      </c>
      <c r="B38" t="s">
        <v>79</v>
      </c>
      <c r="C38" s="5">
        <v>285000</v>
      </c>
      <c r="E38" s="12">
        <v>3400</v>
      </c>
      <c r="F38" s="10"/>
      <c r="G38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288400</v>
      </c>
      <c r="H38" s="1"/>
      <c r="I38" t="s">
        <v>5</v>
      </c>
      <c r="J38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39" spans="1:10" x14ac:dyDescent="0.3">
      <c r="A39">
        <v>5105</v>
      </c>
      <c r="B39" t="s">
        <v>78</v>
      </c>
      <c r="C39" s="5">
        <v>5000</v>
      </c>
      <c r="E39" s="10"/>
      <c r="F39" s="10"/>
      <c r="G3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5000</v>
      </c>
      <c r="H39" s="9">
        <f>SUM(G38:G39)</f>
        <v>293400</v>
      </c>
      <c r="I39" t="s">
        <v>5</v>
      </c>
      <c r="J39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40" spans="1:10" x14ac:dyDescent="0.3">
      <c r="A40">
        <v>5110</v>
      </c>
      <c r="B40" t="s">
        <v>77</v>
      </c>
      <c r="C40" s="5">
        <v>18500</v>
      </c>
      <c r="E40" s="10"/>
      <c r="F40" s="10"/>
      <c r="G4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18500</v>
      </c>
      <c r="H40" s="1"/>
      <c r="I40" t="s">
        <v>5</v>
      </c>
      <c r="J40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41" spans="1:10" x14ac:dyDescent="0.3">
      <c r="A41">
        <v>5115</v>
      </c>
      <c r="B41" t="s">
        <v>76</v>
      </c>
      <c r="C41" s="5">
        <v>6900</v>
      </c>
      <c r="E41" s="10"/>
      <c r="F41" s="10"/>
      <c r="G41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6900</v>
      </c>
      <c r="H41" s="1"/>
      <c r="I41" t="s">
        <v>5</v>
      </c>
      <c r="J41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42" spans="1:10" x14ac:dyDescent="0.3">
      <c r="A42">
        <v>5120</v>
      </c>
      <c r="B42" t="s">
        <v>75</v>
      </c>
      <c r="C42" s="5">
        <v>14200</v>
      </c>
      <c r="E42" s="10"/>
      <c r="F42" s="10"/>
      <c r="G4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14200</v>
      </c>
      <c r="H42" s="1"/>
      <c r="I42" t="s">
        <v>5</v>
      </c>
      <c r="J42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43" spans="1:10" x14ac:dyDescent="0.3">
      <c r="A43">
        <v>5125</v>
      </c>
      <c r="B43" t="s">
        <v>74</v>
      </c>
      <c r="C43" s="5">
        <v>7300</v>
      </c>
      <c r="E43" s="10"/>
      <c r="F43" s="10"/>
      <c r="G43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7300</v>
      </c>
      <c r="H43" s="1"/>
      <c r="I43" t="s">
        <v>5</v>
      </c>
      <c r="J43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44" spans="1:10" x14ac:dyDescent="0.3">
      <c r="A44">
        <v>5130</v>
      </c>
      <c r="B44" t="s">
        <v>73</v>
      </c>
      <c r="C44" s="5">
        <v>5273</v>
      </c>
      <c r="E44" s="10"/>
      <c r="F44" s="10"/>
      <c r="G44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5273</v>
      </c>
      <c r="H44" s="1"/>
      <c r="I44" t="s">
        <v>5</v>
      </c>
      <c r="J44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45" spans="1:10" x14ac:dyDescent="0.3">
      <c r="A45">
        <v>5135</v>
      </c>
      <c r="B45" t="s">
        <v>72</v>
      </c>
      <c r="C45" s="5">
        <v>3932</v>
      </c>
      <c r="E45" s="10"/>
      <c r="F45" s="10"/>
      <c r="G4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3932</v>
      </c>
      <c r="H45" s="1"/>
      <c r="I45" t="s">
        <v>5</v>
      </c>
      <c r="J45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46" spans="1:10" x14ac:dyDescent="0.3">
      <c r="E46" s="10"/>
      <c r="F46" s="10"/>
      <c r="G46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46" s="1"/>
      <c r="J46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47" spans="1:10" s="2" customFormat="1" x14ac:dyDescent="0.3">
      <c r="A47" s="2" t="s">
        <v>71</v>
      </c>
      <c r="E47" s="11"/>
      <c r="F47" s="11"/>
      <c r="G47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47" s="1"/>
      <c r="J47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48" spans="1:10" x14ac:dyDescent="0.3">
      <c r="A48">
        <v>5200</v>
      </c>
      <c r="B48" t="s">
        <v>70</v>
      </c>
      <c r="C48" s="5">
        <v>45000</v>
      </c>
      <c r="E48" s="10"/>
      <c r="F48" s="10"/>
      <c r="G48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45000</v>
      </c>
      <c r="H48" s="1"/>
      <c r="I48" t="s">
        <v>3</v>
      </c>
      <c r="J48" s="1">
        <f>IF(Table3[[#This Row],[HST_Eligible]]="YES",Table3[[#This Row],[Adjusted_Debit]]*0.13,IF(Table3[[#This Row],[Adjusted_Debit]]="Partial",Table3[[#Headers],[Adjusted_Debit]]*0.13*0.5,IF(Table3[[#This Row],[HST_Eligible]]="NO",0,"")))</f>
        <v>5850</v>
      </c>
    </row>
    <row r="49" spans="1:10" x14ac:dyDescent="0.3">
      <c r="A49">
        <v>5205</v>
      </c>
      <c r="B49" t="s">
        <v>69</v>
      </c>
      <c r="C49" s="5">
        <v>9000</v>
      </c>
      <c r="E49" s="10"/>
      <c r="F49" s="10"/>
      <c r="G4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9000</v>
      </c>
      <c r="H49" s="1"/>
      <c r="I49" t="s">
        <v>3</v>
      </c>
      <c r="J49" s="1">
        <f>IF(Table3[[#This Row],[HST_Eligible]]="YES",Table3[[#This Row],[Adjusted_Debit]]*0.13,IF(Table3[[#This Row],[Adjusted_Debit]]="Partial",Table3[[#Headers],[Adjusted_Debit]]*0.13*0.5,IF(Table3[[#This Row],[HST_Eligible]]="NO",0,"")))</f>
        <v>1170</v>
      </c>
    </row>
    <row r="50" spans="1:10" x14ac:dyDescent="0.3">
      <c r="A50">
        <v>5210</v>
      </c>
      <c r="B50" t="s">
        <v>68</v>
      </c>
      <c r="C50" s="5">
        <v>6200</v>
      </c>
      <c r="E50" s="10"/>
      <c r="F50" s="10"/>
      <c r="G5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6200</v>
      </c>
      <c r="H50" s="1"/>
      <c r="I50" t="s">
        <v>3</v>
      </c>
      <c r="J50" s="1">
        <f>IF(Table3[[#This Row],[HST_Eligible]]="YES",Table3[[#This Row],[Adjusted_Debit]]*0.13,IF(Table3[[#This Row],[Adjusted_Debit]]="Partial",Table3[[#Headers],[Adjusted_Debit]]*0.13*0.5,IF(Table3[[#This Row],[HST_Eligible]]="NO",0,"")))</f>
        <v>806</v>
      </c>
    </row>
    <row r="51" spans="1:10" x14ac:dyDescent="0.3">
      <c r="A51">
        <v>5215</v>
      </c>
      <c r="B51" t="s">
        <v>67</v>
      </c>
      <c r="C51" s="5">
        <v>2800</v>
      </c>
      <c r="E51" s="10"/>
      <c r="F51" s="10"/>
      <c r="G51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2800</v>
      </c>
      <c r="H51" s="1"/>
      <c r="I51" t="s">
        <v>3</v>
      </c>
      <c r="J51" s="1">
        <f>IF(Table3[[#This Row],[HST_Eligible]]="YES",Table3[[#This Row],[Adjusted_Debit]]*0.13,IF(Table3[[#This Row],[Adjusted_Debit]]="Partial",Table3[[#Headers],[Adjusted_Debit]]*0.13*0.5,IF(Table3[[#This Row],[HST_Eligible]]="NO",0,"")))</f>
        <v>364</v>
      </c>
    </row>
    <row r="52" spans="1:10" x14ac:dyDescent="0.3">
      <c r="A52">
        <v>5220</v>
      </c>
      <c r="B52" t="s">
        <v>66</v>
      </c>
      <c r="C52" s="5">
        <v>1500</v>
      </c>
      <c r="E52" s="10"/>
      <c r="F52" s="10"/>
      <c r="G5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1500</v>
      </c>
      <c r="H52" s="1"/>
      <c r="I52" t="s">
        <v>3</v>
      </c>
      <c r="J52" s="1">
        <f>IF(Table3[[#This Row],[HST_Eligible]]="YES",Table3[[#This Row],[Adjusted_Debit]]*0.13,IF(Table3[[#This Row],[Adjusted_Debit]]="Partial",Table3[[#Headers],[Adjusted_Debit]]*0.13*0.5,IF(Table3[[#This Row],[HST_Eligible]]="NO",0,"")))</f>
        <v>195</v>
      </c>
    </row>
    <row r="53" spans="1:10" x14ac:dyDescent="0.3">
      <c r="A53">
        <v>5225</v>
      </c>
      <c r="B53" t="s">
        <v>65</v>
      </c>
      <c r="C53" s="5">
        <v>4800</v>
      </c>
      <c r="E53" s="10"/>
      <c r="F53" s="10">
        <v>600</v>
      </c>
      <c r="G53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4200</v>
      </c>
      <c r="H53" s="1"/>
      <c r="I53" t="s">
        <v>5</v>
      </c>
      <c r="J53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54" spans="1:10" x14ac:dyDescent="0.3">
      <c r="A54">
        <v>5230</v>
      </c>
      <c r="B54" t="s">
        <v>64</v>
      </c>
      <c r="C54" s="5">
        <v>6200</v>
      </c>
      <c r="E54" s="10"/>
      <c r="F54" s="10"/>
      <c r="G54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6200</v>
      </c>
      <c r="H54" s="1"/>
      <c r="I54" t="s">
        <v>3</v>
      </c>
      <c r="J54" s="1">
        <f>IF(Table3[[#This Row],[HST_Eligible]]="YES",Table3[[#This Row],[Adjusted_Debit]]*0.13,IF(Table3[[#This Row],[Adjusted_Debit]]="Partial",Table3[[#Headers],[Adjusted_Debit]]*0.13*0.5,IF(Table3[[#This Row],[HST_Eligible]]="NO",0,"")))</f>
        <v>806</v>
      </c>
    </row>
    <row r="55" spans="1:10" x14ac:dyDescent="0.3">
      <c r="A55">
        <v>5235</v>
      </c>
      <c r="B55" t="s">
        <v>63</v>
      </c>
      <c r="C55" s="5">
        <v>3600</v>
      </c>
      <c r="E55" s="10"/>
      <c r="F55" s="10"/>
      <c r="G5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3600</v>
      </c>
      <c r="H55" s="1"/>
      <c r="I55" t="s">
        <v>3</v>
      </c>
      <c r="J55" s="1">
        <f>IF(Table3[[#This Row],[HST_Eligible]]="YES",Table3[[#This Row],[Adjusted_Debit]]*0.13,IF(Table3[[#This Row],[Adjusted_Debit]]="Partial",Table3[[#Headers],[Adjusted_Debit]]*0.13*0.5,IF(Table3[[#This Row],[HST_Eligible]]="NO",0,"")))</f>
        <v>468</v>
      </c>
    </row>
    <row r="56" spans="1:10" x14ac:dyDescent="0.3">
      <c r="A56">
        <v>5240</v>
      </c>
      <c r="B56" t="s">
        <v>62</v>
      </c>
      <c r="C56" s="5">
        <v>2400</v>
      </c>
      <c r="E56" s="10"/>
      <c r="F56" s="10"/>
      <c r="G5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2400</v>
      </c>
      <c r="H56" s="1"/>
      <c r="I56" t="s">
        <v>3</v>
      </c>
      <c r="J56" s="1">
        <f>IF(Table3[[#This Row],[HST_Eligible]]="YES",Table3[[#This Row],[Adjusted_Debit]]*0.13,IF(Table3[[#This Row],[Adjusted_Debit]]="Partial",Table3[[#Headers],[Adjusted_Debit]]*0.13*0.5,IF(Table3[[#This Row],[HST_Eligible]]="NO",0,"")))</f>
        <v>312</v>
      </c>
    </row>
    <row r="57" spans="1:10" x14ac:dyDescent="0.3">
      <c r="A57">
        <v>5245</v>
      </c>
      <c r="B57" t="s">
        <v>61</v>
      </c>
      <c r="C57" s="5">
        <v>1200</v>
      </c>
      <c r="E57" s="10"/>
      <c r="F57" s="10"/>
      <c r="G57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1200</v>
      </c>
      <c r="H57" s="1"/>
      <c r="I57" t="s">
        <v>3</v>
      </c>
      <c r="J57" s="1">
        <f>IF(Table3[[#This Row],[HST_Eligible]]="YES",Table3[[#This Row],[Adjusted_Debit]]*0.13,IF(Table3[[#This Row],[Adjusted_Debit]]="Partial",Table3[[#Headers],[Adjusted_Debit]]*0.13*0.5,IF(Table3[[#This Row],[HST_Eligible]]="NO",0,"")))</f>
        <v>156</v>
      </c>
    </row>
    <row r="58" spans="1:10" x14ac:dyDescent="0.3">
      <c r="E58" s="10"/>
      <c r="F58" s="10"/>
      <c r="G58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58" s="1"/>
      <c r="J58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59" spans="1:10" s="2" customFormat="1" x14ac:dyDescent="0.3">
      <c r="A59" s="2" t="s">
        <v>60</v>
      </c>
      <c r="E59" s="11"/>
      <c r="F59" s="11"/>
      <c r="G59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59" s="1"/>
      <c r="J59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60" spans="1:10" x14ac:dyDescent="0.3">
      <c r="A60">
        <v>5300</v>
      </c>
      <c r="B60" t="s">
        <v>59</v>
      </c>
      <c r="C60" s="5">
        <v>5800</v>
      </c>
      <c r="E60" s="10"/>
      <c r="F60" s="10"/>
      <c r="G6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5800</v>
      </c>
      <c r="H60" s="1"/>
      <c r="I60" t="s">
        <v>3</v>
      </c>
      <c r="J60" s="1">
        <f>IF(Table3[[#This Row],[HST_Eligible]]="YES",Table3[[#This Row],[Adjusted_Debit]]*0.13,IF(Table3[[#This Row],[Adjusted_Debit]]="Partial",Table3[[#Headers],[Adjusted_Debit]]*0.13*0.5,IF(Table3[[#This Row],[HST_Eligible]]="NO",0,"")))</f>
        <v>754</v>
      </c>
    </row>
    <row r="61" spans="1:10" x14ac:dyDescent="0.3">
      <c r="A61">
        <v>5305</v>
      </c>
      <c r="B61" t="s">
        <v>58</v>
      </c>
      <c r="C61" s="5">
        <v>3000</v>
      </c>
      <c r="E61" s="10"/>
      <c r="F61" s="10"/>
      <c r="G61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3000</v>
      </c>
      <c r="H61" s="1"/>
      <c r="I61" t="s">
        <v>3</v>
      </c>
      <c r="J61" s="1">
        <f>IF(Table3[[#This Row],[HST_Eligible]]="YES",Table3[[#This Row],[Adjusted_Debit]]*0.13,IF(Table3[[#This Row],[Adjusted_Debit]]="Partial",Table3[[#Headers],[Adjusted_Debit]]*0.13*0.5,IF(Table3[[#This Row],[HST_Eligible]]="NO",0,"")))</f>
        <v>390</v>
      </c>
    </row>
    <row r="62" spans="1:10" x14ac:dyDescent="0.3">
      <c r="A62">
        <v>5310</v>
      </c>
      <c r="B62" t="s">
        <v>57</v>
      </c>
      <c r="C62" s="5">
        <v>4900</v>
      </c>
      <c r="E62" s="10"/>
      <c r="F62" s="10"/>
      <c r="G6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4900</v>
      </c>
      <c r="H62" s="1"/>
      <c r="I62" t="s">
        <v>3</v>
      </c>
      <c r="J62" s="1">
        <f>IF(Table3[[#This Row],[HST_Eligible]]="YES",Table3[[#This Row],[Adjusted_Debit]]*0.13,IF(Table3[[#This Row],[Adjusted_Debit]]="Partial",Table3[[#Headers],[Adjusted_Debit]]*0.13*0.5,IF(Table3[[#This Row],[HST_Eligible]]="NO",0,"")))</f>
        <v>637</v>
      </c>
    </row>
    <row r="63" spans="1:10" x14ac:dyDescent="0.3">
      <c r="A63">
        <v>5315</v>
      </c>
      <c r="B63" t="s">
        <v>56</v>
      </c>
      <c r="C63" s="5">
        <v>3200</v>
      </c>
      <c r="E63" s="10"/>
      <c r="F63" s="10"/>
      <c r="G63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3200</v>
      </c>
      <c r="H63" s="1"/>
      <c r="I63" t="s">
        <v>5</v>
      </c>
      <c r="J63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64" spans="1:10" x14ac:dyDescent="0.3">
      <c r="A64">
        <v>5320</v>
      </c>
      <c r="B64" t="s">
        <v>55</v>
      </c>
      <c r="C64">
        <v>850</v>
      </c>
      <c r="E64" s="10"/>
      <c r="F64" s="10"/>
      <c r="G64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850</v>
      </c>
      <c r="H64" s="1"/>
      <c r="I64" t="s">
        <v>3</v>
      </c>
      <c r="J64" s="1">
        <f>IF(Table3[[#This Row],[HST_Eligible]]="YES",Table3[[#This Row],[Adjusted_Debit]]*0.13,IF(Table3[[#This Row],[Adjusted_Debit]]="Partial",Table3[[#Headers],[Adjusted_Debit]]*0.13*0.5,IF(Table3[[#This Row],[HST_Eligible]]="NO",0,"")))</f>
        <v>110.5</v>
      </c>
    </row>
    <row r="65" spans="1:10" x14ac:dyDescent="0.3">
      <c r="A65">
        <v>5325</v>
      </c>
      <c r="B65" t="s">
        <v>54</v>
      </c>
      <c r="C65" s="5">
        <v>3130</v>
      </c>
      <c r="E65" s="10"/>
      <c r="F65" s="10"/>
      <c r="G6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3130</v>
      </c>
      <c r="H65" s="1"/>
      <c r="I65" t="s">
        <v>3</v>
      </c>
      <c r="J65" s="1">
        <f>IF(Table3[[#This Row],[HST_Eligible]]="YES",Table3[[#This Row],[Adjusted_Debit]]*0.13,IF(Table3[[#This Row],[Adjusted_Debit]]="Partial",Table3[[#Headers],[Adjusted_Debit]]*0.13*0.5,IF(Table3[[#This Row],[HST_Eligible]]="NO",0,"")))</f>
        <v>406.90000000000003</v>
      </c>
    </row>
    <row r="66" spans="1:10" x14ac:dyDescent="0.3">
      <c r="A66">
        <v>5330</v>
      </c>
      <c r="B66" t="s">
        <v>53</v>
      </c>
      <c r="C66" s="5">
        <v>2400</v>
      </c>
      <c r="E66" s="10"/>
      <c r="F66" s="10"/>
      <c r="G6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2400</v>
      </c>
      <c r="H66" s="1"/>
      <c r="I66" t="s">
        <v>3</v>
      </c>
      <c r="J66" s="1">
        <f>IF(Table3[[#This Row],[HST_Eligible]]="YES",Table3[[#This Row],[Adjusted_Debit]]*0.13,IF(Table3[[#This Row],[Adjusted_Debit]]="Partial",Table3[[#Headers],[Adjusted_Debit]]*0.13*0.5,IF(Table3[[#This Row],[HST_Eligible]]="NO",0,"")))</f>
        <v>312</v>
      </c>
    </row>
    <row r="67" spans="1:10" x14ac:dyDescent="0.3">
      <c r="A67">
        <v>5335</v>
      </c>
      <c r="B67" t="s">
        <v>52</v>
      </c>
      <c r="C67" s="5">
        <v>2550</v>
      </c>
      <c r="E67" s="10"/>
      <c r="F67" s="10"/>
      <c r="G67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2550</v>
      </c>
      <c r="H67" s="1"/>
      <c r="I67" t="s">
        <v>3</v>
      </c>
      <c r="J67" s="1">
        <f>IF(Table3[[#This Row],[HST_Eligible]]="YES",Table3[[#This Row],[Adjusted_Debit]]*0.13,IF(Table3[[#This Row],[Adjusted_Debit]]="Partial",Table3[[#Headers],[Adjusted_Debit]]*0.13*0.5,IF(Table3[[#This Row],[HST_Eligible]]="NO",0,"")))</f>
        <v>331.5</v>
      </c>
    </row>
    <row r="68" spans="1:10" x14ac:dyDescent="0.3">
      <c r="E68" s="10"/>
      <c r="F68" s="10"/>
      <c r="G68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68" s="1"/>
      <c r="J68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69" spans="1:10" s="2" customFormat="1" x14ac:dyDescent="0.3">
      <c r="A69" s="2" t="s">
        <v>51</v>
      </c>
      <c r="E69" s="11"/>
      <c r="F69" s="11"/>
      <c r="G69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69" s="1"/>
      <c r="J69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70" spans="1:10" x14ac:dyDescent="0.3">
      <c r="A70">
        <v>5400</v>
      </c>
      <c r="B70" t="s">
        <v>50</v>
      </c>
      <c r="C70" s="5">
        <v>3650</v>
      </c>
      <c r="E70" s="10"/>
      <c r="F70" s="10"/>
      <c r="G7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3650</v>
      </c>
      <c r="H70" s="1"/>
      <c r="I70" t="s">
        <v>3</v>
      </c>
      <c r="J70" s="1">
        <f>IF(Table3[[#This Row],[HST_Eligible]]="YES",Table3[[#This Row],[Adjusted_Debit]]*0.13,IF(Table3[[#This Row],[Adjusted_Debit]]="Partial",Table3[[#Headers],[Adjusted_Debit]]*0.13*0.5,IF(Table3[[#This Row],[HST_Eligible]]="NO",0,"")))</f>
        <v>474.5</v>
      </c>
    </row>
    <row r="71" spans="1:10" x14ac:dyDescent="0.3">
      <c r="A71">
        <v>5405</v>
      </c>
      <c r="B71" t="s">
        <v>49</v>
      </c>
      <c r="C71" s="5">
        <v>1200</v>
      </c>
      <c r="E71" s="10"/>
      <c r="F71" s="10"/>
      <c r="G71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1200</v>
      </c>
      <c r="H71" s="1"/>
      <c r="I71" t="s">
        <v>3</v>
      </c>
      <c r="J71" s="1">
        <f>IF(Table3[[#This Row],[HST_Eligible]]="YES",Table3[[#This Row],[Adjusted_Debit]]*0.13,IF(Table3[[#This Row],[Adjusted_Debit]]="Partial",Table3[[#Headers],[Adjusted_Debit]]*0.13*0.5,IF(Table3[[#This Row],[HST_Eligible]]="NO",0,"")))</f>
        <v>156</v>
      </c>
    </row>
    <row r="72" spans="1:10" x14ac:dyDescent="0.3">
      <c r="A72">
        <v>5410</v>
      </c>
      <c r="B72" t="s">
        <v>48</v>
      </c>
      <c r="C72" s="5">
        <v>6300</v>
      </c>
      <c r="E72" s="10"/>
      <c r="F72" s="10"/>
      <c r="G7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6300</v>
      </c>
      <c r="H72" s="1"/>
      <c r="I72" t="s">
        <v>3</v>
      </c>
      <c r="J72" s="1">
        <f>IF(Table3[[#This Row],[HST_Eligible]]="YES",Table3[[#This Row],[Adjusted_Debit]]*0.13,IF(Table3[[#This Row],[Adjusted_Debit]]="Partial",Table3[[#Headers],[Adjusted_Debit]]*0.13*0.5,IF(Table3[[#This Row],[HST_Eligible]]="NO",0,"")))</f>
        <v>819</v>
      </c>
    </row>
    <row r="73" spans="1:10" x14ac:dyDescent="0.3">
      <c r="A73">
        <v>5415</v>
      </c>
      <c r="B73" t="s">
        <v>47</v>
      </c>
      <c r="C73" s="5">
        <v>2550</v>
      </c>
      <c r="E73" s="10"/>
      <c r="F73" s="10"/>
      <c r="G73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2550</v>
      </c>
      <c r="H73" s="1"/>
      <c r="I73" t="s">
        <v>3</v>
      </c>
      <c r="J73" s="1">
        <f>IF(Table3[[#This Row],[HST_Eligible]]="YES",Table3[[#This Row],[Adjusted_Debit]]*0.13,IF(Table3[[#This Row],[Adjusted_Debit]]="Partial",Table3[[#Headers],[Adjusted_Debit]]*0.13*0.5,IF(Table3[[#This Row],[HST_Eligible]]="NO",0,"")))</f>
        <v>331.5</v>
      </c>
    </row>
    <row r="74" spans="1:10" x14ac:dyDescent="0.3">
      <c r="A74">
        <v>5420</v>
      </c>
      <c r="B74" t="s">
        <v>46</v>
      </c>
      <c r="C74" s="5">
        <v>5400</v>
      </c>
      <c r="E74" s="10"/>
      <c r="F74" s="10"/>
      <c r="G74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5400</v>
      </c>
      <c r="H74" s="1"/>
      <c r="I74" t="s">
        <v>3</v>
      </c>
      <c r="J74" s="1">
        <f>IF(Table3[[#This Row],[HST_Eligible]]="YES",Table3[[#This Row],[Adjusted_Debit]]*0.13,IF(Table3[[#This Row],[Adjusted_Debit]]="Partial",Table3[[#Headers],[Adjusted_Debit]]*0.13*0.5,IF(Table3[[#This Row],[HST_Eligible]]="NO",0,"")))</f>
        <v>702</v>
      </c>
    </row>
    <row r="75" spans="1:10" x14ac:dyDescent="0.3">
      <c r="A75">
        <v>5425</v>
      </c>
      <c r="B75" t="s">
        <v>45</v>
      </c>
      <c r="C75" s="5">
        <v>2050</v>
      </c>
      <c r="E75" s="10"/>
      <c r="F75" s="10"/>
      <c r="G7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2050</v>
      </c>
      <c r="H75" s="1"/>
      <c r="I75" t="s">
        <v>3</v>
      </c>
      <c r="J75" s="1">
        <f>IF(Table3[[#This Row],[HST_Eligible]]="YES",Table3[[#This Row],[Adjusted_Debit]]*0.13,IF(Table3[[#This Row],[Adjusted_Debit]]="Partial",Table3[[#Headers],[Adjusted_Debit]]*0.13*0.5,IF(Table3[[#This Row],[HST_Eligible]]="NO",0,"")))</f>
        <v>266.5</v>
      </c>
    </row>
    <row r="76" spans="1:10" x14ac:dyDescent="0.3">
      <c r="A76">
        <v>5430</v>
      </c>
      <c r="B76" t="s">
        <v>44</v>
      </c>
      <c r="C76">
        <v>960</v>
      </c>
      <c r="E76" s="10"/>
      <c r="F76" s="10"/>
      <c r="G7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960</v>
      </c>
      <c r="H76" s="1"/>
      <c r="I76" t="s">
        <v>3</v>
      </c>
      <c r="J76" s="1">
        <f>IF(Table3[[#This Row],[HST_Eligible]]="YES",Table3[[#This Row],[Adjusted_Debit]]*0.13,IF(Table3[[#This Row],[Adjusted_Debit]]="Partial",Table3[[#Headers],[Adjusted_Debit]]*0.13*0.5,IF(Table3[[#This Row],[HST_Eligible]]="NO",0,"")))</f>
        <v>124.80000000000001</v>
      </c>
    </row>
    <row r="77" spans="1:10" x14ac:dyDescent="0.3">
      <c r="E77" s="10"/>
      <c r="F77" s="10"/>
      <c r="G77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77" s="1"/>
      <c r="J77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78" spans="1:10" s="2" customFormat="1" x14ac:dyDescent="0.3">
      <c r="A78" s="2" t="s">
        <v>43</v>
      </c>
      <c r="E78" s="11"/>
      <c r="F78" s="11"/>
      <c r="G78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78" s="1"/>
      <c r="J78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79" spans="1:10" x14ac:dyDescent="0.3">
      <c r="A79">
        <v>5600</v>
      </c>
      <c r="B79" t="s">
        <v>42</v>
      </c>
      <c r="C79" s="5">
        <v>4000</v>
      </c>
      <c r="E79" s="10"/>
      <c r="F79" s="10"/>
      <c r="G7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4000</v>
      </c>
      <c r="H79" s="1"/>
      <c r="I79" t="s">
        <v>3</v>
      </c>
      <c r="J79" s="1">
        <f>IF(Table3[[#This Row],[HST_Eligible]]="YES",Table3[[#This Row],[Adjusted_Debit]]*0.13,IF(Table3[[#This Row],[Adjusted_Debit]]="Partial",Table3[[#Headers],[Adjusted_Debit]]*0.13*0.5,IF(Table3[[#This Row],[HST_Eligible]]="NO",0,"")))</f>
        <v>520</v>
      </c>
    </row>
    <row r="80" spans="1:10" x14ac:dyDescent="0.3">
      <c r="A80">
        <v>5605</v>
      </c>
      <c r="B80" t="s">
        <v>41</v>
      </c>
      <c r="C80" s="5">
        <v>7500</v>
      </c>
      <c r="E80" s="10"/>
      <c r="F80" s="10"/>
      <c r="G8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7500</v>
      </c>
      <c r="H80" s="1"/>
      <c r="I80" t="s">
        <v>3</v>
      </c>
      <c r="J80" s="1">
        <f>IF(Table3[[#This Row],[HST_Eligible]]="YES",Table3[[#This Row],[Adjusted_Debit]]*0.13,IF(Table3[[#This Row],[Adjusted_Debit]]="Partial",Table3[[#Headers],[Adjusted_Debit]]*0.13*0.5,IF(Table3[[#This Row],[HST_Eligible]]="NO",0,"")))</f>
        <v>975</v>
      </c>
    </row>
    <row r="81" spans="1:10" x14ac:dyDescent="0.3">
      <c r="A81">
        <v>5610</v>
      </c>
      <c r="B81" t="s">
        <v>40</v>
      </c>
      <c r="C81" s="5">
        <v>3500</v>
      </c>
      <c r="E81" s="10"/>
      <c r="F81" s="10"/>
      <c r="G81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3500</v>
      </c>
      <c r="H81" s="1"/>
      <c r="I81" t="s">
        <v>3</v>
      </c>
      <c r="J81" s="1">
        <f>IF(Table3[[#This Row],[HST_Eligible]]="YES",Table3[[#This Row],[Adjusted_Debit]]*0.13,IF(Table3[[#This Row],[Adjusted_Debit]]="Partial",Table3[[#Headers],[Adjusted_Debit]]*0.13*0.5,IF(Table3[[#This Row],[HST_Eligible]]="NO",0,"")))</f>
        <v>455</v>
      </c>
    </row>
    <row r="82" spans="1:10" x14ac:dyDescent="0.3">
      <c r="A82">
        <v>5615</v>
      </c>
      <c r="B82" t="s">
        <v>39</v>
      </c>
      <c r="C82" s="5">
        <v>2800</v>
      </c>
      <c r="E82" s="10"/>
      <c r="F82" s="10"/>
      <c r="G8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2800</v>
      </c>
      <c r="H82" s="1"/>
      <c r="I82" t="s">
        <v>3</v>
      </c>
      <c r="J82" s="1">
        <f>IF(Table3[[#This Row],[HST_Eligible]]="YES",Table3[[#This Row],[Adjusted_Debit]]*0.13,IF(Table3[[#This Row],[Adjusted_Debit]]="Partial",Table3[[#Headers],[Adjusted_Debit]]*0.13*0.5,IF(Table3[[#This Row],[HST_Eligible]]="NO",0,"")))</f>
        <v>364</v>
      </c>
    </row>
    <row r="83" spans="1:10" x14ac:dyDescent="0.3">
      <c r="A83">
        <v>5620</v>
      </c>
      <c r="B83" t="s">
        <v>38</v>
      </c>
      <c r="C83" s="5">
        <v>1800</v>
      </c>
      <c r="E83" s="10"/>
      <c r="F83" s="10"/>
      <c r="G83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1800</v>
      </c>
      <c r="H83" s="1"/>
      <c r="I83" t="s">
        <v>3</v>
      </c>
      <c r="J83" s="1">
        <f>IF(Table3[[#This Row],[HST_Eligible]]="YES",Table3[[#This Row],[Adjusted_Debit]]*0.13,IF(Table3[[#This Row],[Adjusted_Debit]]="Partial",Table3[[#Headers],[Adjusted_Debit]]*0.13*0.5,IF(Table3[[#This Row],[HST_Eligible]]="NO",0,"")))</f>
        <v>234</v>
      </c>
    </row>
    <row r="84" spans="1:10" x14ac:dyDescent="0.3">
      <c r="E84" s="10"/>
      <c r="F84" s="10"/>
      <c r="G84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84" s="1"/>
      <c r="J84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85" spans="1:10" s="2" customFormat="1" x14ac:dyDescent="0.3">
      <c r="A85" s="2" t="s">
        <v>37</v>
      </c>
      <c r="E85" s="11"/>
      <c r="F85" s="11"/>
      <c r="G85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85" s="1"/>
      <c r="J85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86" spans="1:10" x14ac:dyDescent="0.3">
      <c r="A86">
        <v>5500</v>
      </c>
      <c r="B86" t="s">
        <v>36</v>
      </c>
      <c r="C86" s="5">
        <v>14500</v>
      </c>
      <c r="E86" s="10"/>
      <c r="F86" s="10"/>
      <c r="G8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14500</v>
      </c>
      <c r="H86" s="1"/>
      <c r="I86" t="s">
        <v>3</v>
      </c>
      <c r="J86" s="1">
        <f>IF(Table3[[#This Row],[HST_Eligible]]="YES",Table3[[#This Row],[Adjusted_Debit]]*0.13,IF(Table3[[#This Row],[Adjusted_Debit]]="Partial",Table3[[#Headers],[Adjusted_Debit]]*0.13*0.5,IF(Table3[[#This Row],[HST_Eligible]]="NO",0,"")))</f>
        <v>1885</v>
      </c>
    </row>
    <row r="87" spans="1:10" x14ac:dyDescent="0.3">
      <c r="A87">
        <v>5505</v>
      </c>
      <c r="B87" t="s">
        <v>35</v>
      </c>
      <c r="C87" s="5">
        <v>8900</v>
      </c>
      <c r="E87" s="10"/>
      <c r="F87" s="10"/>
      <c r="G87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8900</v>
      </c>
      <c r="H87" s="1"/>
      <c r="I87" t="s">
        <v>3</v>
      </c>
      <c r="J87" s="1">
        <f>IF(Table3[[#This Row],[HST_Eligible]]="YES",Table3[[#This Row],[Adjusted_Debit]]*0.13,IF(Table3[[#This Row],[Adjusted_Debit]]="Partial",Table3[[#Headers],[Adjusted_Debit]]*0.13*0.5,IF(Table3[[#This Row],[HST_Eligible]]="NO",0,"")))</f>
        <v>1157</v>
      </c>
    </row>
    <row r="88" spans="1:10" x14ac:dyDescent="0.3">
      <c r="A88">
        <v>5510</v>
      </c>
      <c r="B88" t="s">
        <v>34</v>
      </c>
      <c r="C88" s="5">
        <v>1350</v>
      </c>
      <c r="E88" s="10"/>
      <c r="F88" s="10"/>
      <c r="G88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1350</v>
      </c>
      <c r="H88" s="1"/>
      <c r="I88" t="s">
        <v>3</v>
      </c>
      <c r="J88" s="1">
        <f>IF(Table3[[#This Row],[HST_Eligible]]="YES",Table3[[#This Row],[Adjusted_Debit]]*0.13,IF(Table3[[#This Row],[Adjusted_Debit]]="Partial",Table3[[#Headers],[Adjusted_Debit]]*0.13*0.5,IF(Table3[[#This Row],[HST_Eligible]]="NO",0,"")))</f>
        <v>175.5</v>
      </c>
    </row>
    <row r="89" spans="1:10" x14ac:dyDescent="0.3">
      <c r="A89">
        <v>5515</v>
      </c>
      <c r="B89" t="s">
        <v>33</v>
      </c>
      <c r="C89" s="5">
        <v>3600</v>
      </c>
      <c r="E89" s="10"/>
      <c r="F89" s="10"/>
      <c r="G8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3600</v>
      </c>
      <c r="H89" s="1"/>
      <c r="I89" t="s">
        <v>3</v>
      </c>
      <c r="J89" s="1">
        <f>IF(Table3[[#This Row],[HST_Eligible]]="YES",Table3[[#This Row],[Adjusted_Debit]]*0.13,IF(Table3[[#This Row],[Adjusted_Debit]]="Partial",Table3[[#Headers],[Adjusted_Debit]]*0.13*0.5,IF(Table3[[#This Row],[HST_Eligible]]="NO",0,"")))</f>
        <v>468</v>
      </c>
    </row>
    <row r="90" spans="1:10" x14ac:dyDescent="0.3">
      <c r="A90">
        <v>5520</v>
      </c>
      <c r="B90" t="s">
        <v>32</v>
      </c>
      <c r="C90" s="5">
        <v>4200</v>
      </c>
      <c r="E90" s="10"/>
      <c r="F90" s="10"/>
      <c r="G9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4200</v>
      </c>
      <c r="H90" s="1"/>
      <c r="I90" t="s">
        <v>3</v>
      </c>
      <c r="J90" s="1">
        <f>IF(Table3[[#This Row],[HST_Eligible]]="YES",Table3[[#This Row],[Adjusted_Debit]]*0.13,IF(Table3[[#This Row],[Adjusted_Debit]]="Partial",Table3[[#Headers],[Adjusted_Debit]]*0.13*0.5,IF(Table3[[#This Row],[HST_Eligible]]="NO",0,"")))</f>
        <v>546</v>
      </c>
    </row>
    <row r="91" spans="1:10" x14ac:dyDescent="0.3">
      <c r="A91">
        <v>5525</v>
      </c>
      <c r="B91" t="s">
        <v>31</v>
      </c>
      <c r="C91" s="5">
        <v>1800</v>
      </c>
      <c r="E91" s="10"/>
      <c r="F91" s="10"/>
      <c r="G91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1800</v>
      </c>
      <c r="H91" s="1"/>
      <c r="I91" t="s">
        <v>3</v>
      </c>
      <c r="J91" s="1">
        <f>IF(Table3[[#This Row],[HST_Eligible]]="YES",Table3[[#This Row],[Adjusted_Debit]]*0.13,IF(Table3[[#This Row],[Adjusted_Debit]]="Partial",Table3[[#Headers],[Adjusted_Debit]]*0.13*0.5,IF(Table3[[#This Row],[HST_Eligible]]="NO",0,"")))</f>
        <v>234</v>
      </c>
    </row>
    <row r="92" spans="1:10" x14ac:dyDescent="0.3">
      <c r="E92" s="10"/>
      <c r="F92" s="10"/>
      <c r="G92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92" s="1"/>
      <c r="J92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93" spans="1:10" s="2" customFormat="1" x14ac:dyDescent="0.3">
      <c r="A93" s="2" t="s">
        <v>30</v>
      </c>
      <c r="E93" s="11"/>
      <c r="F93" s="11"/>
      <c r="G93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93" s="1"/>
      <c r="J93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94" spans="1:10" x14ac:dyDescent="0.3">
      <c r="A94">
        <v>5800</v>
      </c>
      <c r="B94" t="s">
        <v>29</v>
      </c>
      <c r="C94" s="5">
        <v>3200</v>
      </c>
      <c r="E94" s="10"/>
      <c r="F94" s="10"/>
      <c r="G94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3200</v>
      </c>
      <c r="H94" s="1"/>
      <c r="I94" t="s">
        <v>3</v>
      </c>
      <c r="J94" s="1">
        <f>IF(Table3[[#This Row],[HST_Eligible]]="YES",Table3[[#This Row],[Adjusted_Debit]]*0.13,IF(Table3[[#This Row],[Adjusted_Debit]]="Partial",Table3[[#Headers],[Adjusted_Debit]]*0.13*0.5,IF(Table3[[#This Row],[HST_Eligible]]="NO",0,"")))</f>
        <v>416</v>
      </c>
    </row>
    <row r="95" spans="1:10" x14ac:dyDescent="0.3">
      <c r="A95">
        <v>5805</v>
      </c>
      <c r="B95" t="s">
        <v>28</v>
      </c>
      <c r="C95" s="5">
        <v>2700</v>
      </c>
      <c r="E95" s="10"/>
      <c r="F95" s="10"/>
      <c r="G9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2700</v>
      </c>
      <c r="H95" s="1"/>
      <c r="I95" t="s">
        <v>3</v>
      </c>
      <c r="J95" s="1">
        <f>IF(Table3[[#This Row],[HST_Eligible]]="YES",Table3[[#This Row],[Adjusted_Debit]]*0.13,IF(Table3[[#This Row],[Adjusted_Debit]]="Partial",Table3[[#Headers],[Adjusted_Debit]]*0.13*0.5,IF(Table3[[#This Row],[HST_Eligible]]="NO",0,"")))</f>
        <v>351</v>
      </c>
    </row>
    <row r="96" spans="1:10" x14ac:dyDescent="0.3">
      <c r="A96">
        <v>5810</v>
      </c>
      <c r="B96" t="s">
        <v>27</v>
      </c>
      <c r="C96" s="5">
        <v>4500</v>
      </c>
      <c r="E96" s="10"/>
      <c r="F96" s="10"/>
      <c r="G9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4500</v>
      </c>
      <c r="H96" s="1"/>
      <c r="I96" t="s">
        <v>26</v>
      </c>
      <c r="J96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97" spans="1:10" x14ac:dyDescent="0.3">
      <c r="A97">
        <v>5815</v>
      </c>
      <c r="B97" t="s">
        <v>25</v>
      </c>
      <c r="C97" s="5">
        <v>1200</v>
      </c>
      <c r="E97" s="10"/>
      <c r="F97" s="10"/>
      <c r="G97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1200</v>
      </c>
      <c r="H97" s="1"/>
      <c r="I97" t="s">
        <v>3</v>
      </c>
      <c r="J97" s="1">
        <f>IF(Table3[[#This Row],[HST_Eligible]]="YES",Table3[[#This Row],[Adjusted_Debit]]*0.13,IF(Table3[[#This Row],[Adjusted_Debit]]="Partial",Table3[[#Headers],[Adjusted_Debit]]*0.13*0.5,IF(Table3[[#This Row],[HST_Eligible]]="NO",0,"")))</f>
        <v>156</v>
      </c>
    </row>
    <row r="98" spans="1:10" x14ac:dyDescent="0.3">
      <c r="A98">
        <v>5820</v>
      </c>
      <c r="B98" t="s">
        <v>24</v>
      </c>
      <c r="C98" s="5">
        <v>3000</v>
      </c>
      <c r="E98" s="10"/>
      <c r="F98" s="10"/>
      <c r="G98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3000</v>
      </c>
      <c r="H98" s="1"/>
      <c r="I98" t="s">
        <v>3</v>
      </c>
      <c r="J98" s="1">
        <f>IF(Table3[[#This Row],[HST_Eligible]]="YES",Table3[[#This Row],[Adjusted_Debit]]*0.13,IF(Table3[[#This Row],[Adjusted_Debit]]="Partial",Table3[[#Headers],[Adjusted_Debit]]*0.13*0.5,IF(Table3[[#This Row],[HST_Eligible]]="NO",0,"")))</f>
        <v>390</v>
      </c>
    </row>
    <row r="99" spans="1:10" x14ac:dyDescent="0.3">
      <c r="A99">
        <v>5825</v>
      </c>
      <c r="B99" t="s">
        <v>23</v>
      </c>
      <c r="C99">
        <v>680</v>
      </c>
      <c r="E99" s="10"/>
      <c r="F99" s="10"/>
      <c r="G9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680</v>
      </c>
      <c r="H99" s="1"/>
      <c r="I99" t="s">
        <v>3</v>
      </c>
      <c r="J99" s="1">
        <f>IF(Table3[[#This Row],[HST_Eligible]]="YES",Table3[[#This Row],[Adjusted_Debit]]*0.13,IF(Table3[[#This Row],[Adjusted_Debit]]="Partial",Table3[[#Headers],[Adjusted_Debit]]*0.13*0.5,IF(Table3[[#This Row],[HST_Eligible]]="NO",0,"")))</f>
        <v>88.4</v>
      </c>
    </row>
    <row r="100" spans="1:10" x14ac:dyDescent="0.3">
      <c r="E100" s="10"/>
      <c r="F100" s="10"/>
      <c r="G100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00" s="1"/>
      <c r="J100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01" spans="1:10" s="2" customFormat="1" x14ac:dyDescent="0.3">
      <c r="A101" s="2" t="s">
        <v>22</v>
      </c>
      <c r="E101" s="11"/>
      <c r="F101" s="11"/>
      <c r="G101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01" s="1"/>
      <c r="J101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02" spans="1:10" x14ac:dyDescent="0.3">
      <c r="A102">
        <v>5850</v>
      </c>
      <c r="B102" t="s">
        <v>21</v>
      </c>
      <c r="C102">
        <v>550</v>
      </c>
      <c r="E102" s="10"/>
      <c r="F102" s="10"/>
      <c r="G10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550</v>
      </c>
      <c r="H102" s="1"/>
      <c r="I102" t="s">
        <v>5</v>
      </c>
      <c r="J102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03" spans="1:10" x14ac:dyDescent="0.3">
      <c r="A103">
        <v>5855</v>
      </c>
      <c r="B103" t="s">
        <v>20</v>
      </c>
      <c r="C103" s="5">
        <v>7450</v>
      </c>
      <c r="E103" s="10"/>
      <c r="F103" s="10"/>
      <c r="G103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7450</v>
      </c>
      <c r="H103" s="1"/>
      <c r="I103" t="s">
        <v>5</v>
      </c>
      <c r="J103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04" spans="1:10" x14ac:dyDescent="0.3">
      <c r="A104">
        <v>5860</v>
      </c>
      <c r="B104" t="s">
        <v>19</v>
      </c>
      <c r="C104" s="5">
        <v>2400</v>
      </c>
      <c r="E104" s="10"/>
      <c r="F104" s="10"/>
      <c r="G104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2400</v>
      </c>
      <c r="H104" s="1"/>
      <c r="I104" t="s">
        <v>5</v>
      </c>
      <c r="J104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05" spans="1:10" x14ac:dyDescent="0.3">
      <c r="A105">
        <v>5865</v>
      </c>
      <c r="B105" t="s">
        <v>18</v>
      </c>
      <c r="C105" s="5">
        <v>1600</v>
      </c>
      <c r="E105" s="10">
        <v>400</v>
      </c>
      <c r="F105" s="10"/>
      <c r="G10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2000</v>
      </c>
      <c r="H105" s="1"/>
      <c r="I105" t="s">
        <v>5</v>
      </c>
      <c r="J105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06" spans="1:10" x14ac:dyDescent="0.3">
      <c r="A106">
        <v>5870</v>
      </c>
      <c r="B106" t="s">
        <v>17</v>
      </c>
      <c r="C106">
        <v>800</v>
      </c>
      <c r="E106" s="10"/>
      <c r="F106" s="10"/>
      <c r="G10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800</v>
      </c>
      <c r="H106" s="1"/>
      <c r="I106" t="s">
        <v>5</v>
      </c>
      <c r="J106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07" spans="1:10" x14ac:dyDescent="0.3">
      <c r="E107" s="10"/>
      <c r="F107" s="10"/>
      <c r="G107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07" s="1"/>
      <c r="J107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08" spans="1:10" s="2" customFormat="1" x14ac:dyDescent="0.3">
      <c r="A108" s="2" t="s">
        <v>16</v>
      </c>
      <c r="E108" s="11"/>
      <c r="F108" s="11"/>
      <c r="G108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08" s="1"/>
      <c r="J108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09" spans="1:10" x14ac:dyDescent="0.3">
      <c r="A109">
        <v>5900</v>
      </c>
      <c r="B109" t="s">
        <v>15</v>
      </c>
      <c r="C109">
        <v>0</v>
      </c>
      <c r="E109" s="12">
        <v>5000</v>
      </c>
      <c r="F109" s="10"/>
      <c r="G10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5000</v>
      </c>
      <c r="H109" s="1"/>
      <c r="I109" t="s">
        <v>5</v>
      </c>
      <c r="J109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10" spans="1:10" x14ac:dyDescent="0.3">
      <c r="A110">
        <v>5905</v>
      </c>
      <c r="B110" t="s">
        <v>14</v>
      </c>
      <c r="C110">
        <v>0</v>
      </c>
      <c r="E110" s="12">
        <v>8750</v>
      </c>
      <c r="F110" s="10"/>
      <c r="G11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8750</v>
      </c>
      <c r="H110" s="1"/>
      <c r="I110" t="s">
        <v>5</v>
      </c>
      <c r="J110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11" spans="1:10" x14ac:dyDescent="0.3">
      <c r="A111">
        <v>5910</v>
      </c>
      <c r="B111" t="s">
        <v>13</v>
      </c>
      <c r="C111">
        <v>0</v>
      </c>
      <c r="E111" s="12">
        <v>1250</v>
      </c>
      <c r="F111" s="10"/>
      <c r="G111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1250</v>
      </c>
      <c r="H111" s="1"/>
      <c r="I111" t="s">
        <v>5</v>
      </c>
      <c r="J111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12" spans="1:10" x14ac:dyDescent="0.3">
      <c r="A112">
        <v>5920</v>
      </c>
      <c r="B112" t="s">
        <v>12</v>
      </c>
      <c r="C112">
        <v>0</v>
      </c>
      <c r="E112" s="10">
        <v>652</v>
      </c>
      <c r="F112" s="10"/>
      <c r="G112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652</v>
      </c>
      <c r="H112" s="1"/>
      <c r="I112" t="s">
        <v>5</v>
      </c>
      <c r="J112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13" spans="1:11" x14ac:dyDescent="0.3">
      <c r="E113" s="10"/>
      <c r="F113" s="10"/>
      <c r="G113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13" s="1"/>
      <c r="J113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14" spans="1:11" s="2" customFormat="1" x14ac:dyDescent="0.3">
      <c r="A114" s="2" t="s">
        <v>11</v>
      </c>
      <c r="E114" s="11"/>
      <c r="F114" s="11"/>
      <c r="G114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14" s="1"/>
      <c r="J114" s="1" t="str">
        <f>IF(Table3[[#This Row],[HST_Eligible]]="YES",Table3[[#This Row],[Adjusted_Debit]]*0.13,IF(Table3[[#This Row],[Adjusted_Debit]]="Partial",Table3[[#Headers],[Adjusted_Debit]]*0.13*0.5,IF(Table3[[#This Row],[HST_Eligible]]="NO",0,"")))</f>
        <v/>
      </c>
    </row>
    <row r="115" spans="1:11" x14ac:dyDescent="0.3">
      <c r="A115">
        <v>5950</v>
      </c>
      <c r="B115" t="s">
        <v>10</v>
      </c>
      <c r="C115">
        <v>970</v>
      </c>
      <c r="E115" s="10"/>
      <c r="F115" s="10"/>
      <c r="G115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970</v>
      </c>
      <c r="H115" s="1"/>
      <c r="I115" t="s">
        <v>3</v>
      </c>
      <c r="J115" s="1">
        <f>IF(Table3[[#This Row],[HST_Eligible]]="YES",Table3[[#This Row],[Adjusted_Debit]]*0.13,IF(Table3[[#This Row],[Adjusted_Debit]]="Partial",Table3[[#Headers],[Adjusted_Debit]]*0.13*0.5,IF(Table3[[#This Row],[HST_Eligible]]="NO",0,"")))</f>
        <v>126.10000000000001</v>
      </c>
    </row>
    <row r="116" spans="1:11" x14ac:dyDescent="0.3">
      <c r="A116">
        <v>5955</v>
      </c>
      <c r="B116" t="s">
        <v>9</v>
      </c>
      <c r="C116" s="5">
        <v>3000</v>
      </c>
      <c r="E116" s="10"/>
      <c r="F116" s="10"/>
      <c r="G116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3000</v>
      </c>
      <c r="H116" s="1"/>
      <c r="I116" t="s">
        <v>3</v>
      </c>
      <c r="J116" s="1">
        <f>IF(Table3[[#This Row],[HST_Eligible]]="YES",Table3[[#This Row],[Adjusted_Debit]]*0.13,IF(Table3[[#This Row],[Adjusted_Debit]]="Partial",Table3[[#Headers],[Adjusted_Debit]]*0.13*0.5,IF(Table3[[#This Row],[HST_Eligible]]="NO",0,"")))</f>
        <v>390</v>
      </c>
    </row>
    <row r="117" spans="1:11" x14ac:dyDescent="0.3">
      <c r="A117">
        <v>5960</v>
      </c>
      <c r="B117" t="s">
        <v>8</v>
      </c>
      <c r="C117" s="5">
        <v>1450</v>
      </c>
      <c r="E117" s="10"/>
      <c r="F117" s="10"/>
      <c r="G117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1450</v>
      </c>
      <c r="H117" s="1"/>
      <c r="I117" t="s">
        <v>3</v>
      </c>
      <c r="J117" s="1">
        <f>IF(Table3[[#This Row],[HST_Eligible]]="YES",Table3[[#This Row],[Adjusted_Debit]]*0.13,IF(Table3[[#This Row],[Adjusted_Debit]]="Partial",Table3[[#Headers],[Adjusted_Debit]]*0.13*0.5,IF(Table3[[#This Row],[HST_Eligible]]="NO",0,"")))</f>
        <v>188.5</v>
      </c>
    </row>
    <row r="118" spans="1:11" x14ac:dyDescent="0.3">
      <c r="A118">
        <v>5965</v>
      </c>
      <c r="B118" t="s">
        <v>7</v>
      </c>
      <c r="C118">
        <v>850</v>
      </c>
      <c r="E118" s="10"/>
      <c r="F118" s="10"/>
      <c r="G118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850</v>
      </c>
      <c r="H118" s="1"/>
      <c r="I118" t="s">
        <v>3</v>
      </c>
      <c r="J118" s="1">
        <f>IF(Table3[[#This Row],[HST_Eligible]]="YES",Table3[[#This Row],[Adjusted_Debit]]*0.13,IF(Table3[[#This Row],[Adjusted_Debit]]="Partial",Table3[[#Headers],[Adjusted_Debit]]*0.13*0.5,IF(Table3[[#This Row],[HST_Eligible]]="NO",0,"")))</f>
        <v>110.5</v>
      </c>
    </row>
    <row r="119" spans="1:11" x14ac:dyDescent="0.3">
      <c r="A119">
        <v>5970</v>
      </c>
      <c r="B119" t="s">
        <v>6</v>
      </c>
      <c r="C119" s="5">
        <v>1200</v>
      </c>
      <c r="E119" s="10"/>
      <c r="F119" s="10"/>
      <c r="G119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1200</v>
      </c>
      <c r="H119" s="1"/>
      <c r="I119" t="s">
        <v>5</v>
      </c>
      <c r="J119" s="1">
        <f>IF(Table3[[#This Row],[HST_Eligible]]="YES",Table3[[#This Row],[Adjusted_Debit]]*0.13,IF(Table3[[#This Row],[Adjusted_Debit]]="Partial",Table3[[#Headers],[Adjusted_Debit]]*0.13*0.5,IF(Table3[[#This Row],[HST_Eligible]]="NO",0,"")))</f>
        <v>0</v>
      </c>
    </row>
    <row r="120" spans="1:11" x14ac:dyDescent="0.3">
      <c r="A120">
        <v>5975</v>
      </c>
      <c r="B120" t="s">
        <v>4</v>
      </c>
      <c r="C120" s="5">
        <v>2100</v>
      </c>
      <c r="E120" s="10"/>
      <c r="F120" s="10"/>
      <c r="G120" s="9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>2100</v>
      </c>
      <c r="H120" s="1"/>
      <c r="I120" t="s">
        <v>3</v>
      </c>
      <c r="J120" s="1">
        <f>IF(Table3[[#This Row],[HST_Eligible]]="YES",Table3[[#This Row],[Adjusted_Debit]]*0.13,IF(Table3[[#This Row],[Adjusted_Debit]]="Partial",Table3[[#Headers],[Adjusted_Debit]]*0.13*0.5,IF(Table3[[#This Row],[HST_Eligible]]="NO",0,"")))</f>
        <v>273</v>
      </c>
    </row>
    <row r="121" spans="1:11" x14ac:dyDescent="0.3">
      <c r="E121" s="10"/>
      <c r="F121" s="10"/>
      <c r="G121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21" s="1"/>
    </row>
    <row r="122" spans="1:11" s="7" customFormat="1" x14ac:dyDescent="0.3">
      <c r="A122" s="7" t="s">
        <v>2</v>
      </c>
      <c r="C122" s="8">
        <f t="shared" ref="C122:J122" si="0">SUM(C32:C120)</f>
        <v>1751345</v>
      </c>
      <c r="D122" s="8">
        <f t="shared" si="0"/>
        <v>0</v>
      </c>
      <c r="E122" s="8">
        <f t="shared" si="0"/>
        <v>19452</v>
      </c>
      <c r="F122" s="8">
        <f t="shared" si="0"/>
        <v>600</v>
      </c>
      <c r="G122" s="8">
        <f t="shared" si="0"/>
        <v>1770197</v>
      </c>
      <c r="H122" s="8">
        <f t="shared" si="0"/>
        <v>293400</v>
      </c>
      <c r="I122" s="8">
        <f t="shared" si="0"/>
        <v>0</v>
      </c>
      <c r="J122" s="8">
        <f t="shared" si="0"/>
        <v>179236.19999999998</v>
      </c>
    </row>
    <row r="123" spans="1:11" x14ac:dyDescent="0.3">
      <c r="E123" s="10"/>
      <c r="F123" s="10"/>
      <c r="G123" s="9" t="str">
        <f>IF(ABS(IF(Table3[[#This Row],[Unadjusted_Debit]]&gt;=0,Table3[[#This Row],[Unadjusted_Debit]]+Table3[[#This Row],[Adjustments_Debit]]-Table3[[#This Row],[Adjustments_Credit]],"0"))=0,"",(ABS(IF(Table3[[#This Row],[Unadjusted_Debit]]&gt;=0,Table3[[#This Row],[Unadjusted_Debit]]+Table3[[#This Row],[Adjustments_Debit]]-Table3[[#This Row],[Adjustments_Credit]],"0"))))</f>
        <v/>
      </c>
      <c r="H123" s="1" t="str">
        <f>IF(Table3[[#This Row],[Unadjusted_Credit]]&gt;0,Table3[[#This Row],[Unadjusted_Credit]]+Table3[[#This Row],[Adjustments_Credit]]-Table3[[#This Row],[Adjustments_Debit]],"")</f>
        <v/>
      </c>
    </row>
    <row r="124" spans="1:11" s="7" customFormat="1" x14ac:dyDescent="0.3">
      <c r="A124" s="7" t="s">
        <v>1</v>
      </c>
      <c r="C124" s="8">
        <f t="shared" ref="C124:J124" si="1">SUM(C2:C120)</f>
        <v>3427720.5</v>
      </c>
      <c r="D124" s="8">
        <f t="shared" si="1"/>
        <v>3021022</v>
      </c>
      <c r="E124" s="8">
        <f t="shared" si="1"/>
        <v>23382</v>
      </c>
      <c r="F124" s="8">
        <f t="shared" si="1"/>
        <v>7177</v>
      </c>
      <c r="G124" s="8">
        <f t="shared" si="1"/>
        <v>3453529.5</v>
      </c>
      <c r="H124" s="8">
        <f t="shared" si="1"/>
        <v>3322444</v>
      </c>
      <c r="I124" s="8">
        <f t="shared" si="1"/>
        <v>0</v>
      </c>
      <c r="J124" s="8">
        <f t="shared" si="1"/>
        <v>179236.19999999998</v>
      </c>
      <c r="K124" s="8"/>
    </row>
    <row r="125" spans="1:11" s="1" customFormat="1" x14ac:dyDescent="0.3">
      <c r="A125" s="6" t="s">
        <v>0</v>
      </c>
      <c r="B125" s="6"/>
      <c r="C125" s="27">
        <f>C124-D124</f>
        <v>406698.5</v>
      </c>
      <c r="D125" s="27"/>
      <c r="E125" s="27">
        <f>E124-F124</f>
        <v>16205</v>
      </c>
      <c r="F125" s="27"/>
      <c r="G125" s="27">
        <f>G124-H124</f>
        <v>131085.5</v>
      </c>
      <c r="H125" s="27"/>
      <c r="J125" s="1" cm="1">
        <f t="array" aca="1" ref="J125" ca="1">E112:J125</f>
        <v>0</v>
      </c>
    </row>
    <row r="126" spans="1:11" x14ac:dyDescent="0.3">
      <c r="C126" s="5"/>
    </row>
    <row r="127" spans="1:11" x14ac:dyDescent="0.3">
      <c r="C127" s="5"/>
      <c r="H127" s="5"/>
    </row>
    <row r="130" spans="3:10" x14ac:dyDescent="0.3">
      <c r="E130" s="5"/>
    </row>
    <row r="132" spans="3:10" x14ac:dyDescent="0.3">
      <c r="F132" s="5"/>
    </row>
    <row r="133" spans="3:10" x14ac:dyDescent="0.3">
      <c r="F133" s="5"/>
    </row>
    <row r="135" spans="3:10" s="2" customFormat="1" x14ac:dyDescent="0.3">
      <c r="C135" s="4"/>
      <c r="D135" s="4"/>
      <c r="E135" s="4"/>
      <c r="G135" s="4"/>
      <c r="H135"/>
      <c r="I135" s="4"/>
      <c r="J135" s="3"/>
    </row>
  </sheetData>
  <mergeCells count="3">
    <mergeCell ref="C125:D125"/>
    <mergeCell ref="E125:F125"/>
    <mergeCell ref="G125:H12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9BC4-AE07-4AC5-9AE1-EDF2F3B9EB8C}">
  <dimension ref="A1:F21"/>
  <sheetViews>
    <sheetView workbookViewId="0">
      <selection activeCell="F18" sqref="F18"/>
    </sheetView>
  </sheetViews>
  <sheetFormatPr defaultRowHeight="14.4" x14ac:dyDescent="0.3"/>
  <cols>
    <col min="1" max="1" width="21.5546875" customWidth="1"/>
    <col min="2" max="2" width="22.88671875" bestFit="1" customWidth="1"/>
    <col min="3" max="3" width="28.88671875" bestFit="1" customWidth="1"/>
    <col min="5" max="5" width="20" bestFit="1" customWidth="1"/>
    <col min="6" max="6" width="10.109375" bestFit="1" customWidth="1"/>
  </cols>
  <sheetData>
    <row r="1" spans="1:6" x14ac:dyDescent="0.3">
      <c r="A1" s="28" t="s">
        <v>135</v>
      </c>
      <c r="B1" s="28"/>
      <c r="C1" s="28"/>
    </row>
    <row r="3" spans="1:6" x14ac:dyDescent="0.3">
      <c r="A3" t="s">
        <v>134</v>
      </c>
      <c r="B3" t="s">
        <v>133</v>
      </c>
      <c r="C3" t="s">
        <v>132</v>
      </c>
    </row>
    <row r="4" spans="1:6" x14ac:dyDescent="0.3">
      <c r="A4">
        <v>101</v>
      </c>
      <c r="B4" t="s">
        <v>131</v>
      </c>
      <c r="C4" s="18">
        <f>SUM('10 Trial Balance '!D26:D29)</f>
        <v>2218000</v>
      </c>
    </row>
    <row r="5" spans="1:6" x14ac:dyDescent="0.3">
      <c r="A5">
        <v>103</v>
      </c>
      <c r="B5" t="s">
        <v>130</v>
      </c>
      <c r="C5" s="18">
        <f>C4*0.13</f>
        <v>288340</v>
      </c>
      <c r="F5" s="5"/>
    </row>
    <row r="6" spans="1:6" x14ac:dyDescent="0.3">
      <c r="A6">
        <v>105</v>
      </c>
      <c r="B6" t="s">
        <v>129</v>
      </c>
      <c r="C6" s="14">
        <v>0</v>
      </c>
    </row>
    <row r="7" spans="1:6" x14ac:dyDescent="0.3">
      <c r="A7">
        <v>106</v>
      </c>
      <c r="B7" t="s">
        <v>128</v>
      </c>
      <c r="C7" s="19">
        <f>SUMIF(Table3[HST_Eligible],"YES",Table3[Adjusted_Debit])</f>
        <v>1378740</v>
      </c>
    </row>
    <row r="8" spans="1:6" x14ac:dyDescent="0.3">
      <c r="A8">
        <v>108</v>
      </c>
      <c r="B8" t="s">
        <v>127</v>
      </c>
      <c r="C8" s="18">
        <f>C7*0.13</f>
        <v>179236.2</v>
      </c>
    </row>
    <row r="9" spans="1:6" x14ac:dyDescent="0.3">
      <c r="A9">
        <v>109</v>
      </c>
      <c r="B9" t="s">
        <v>126</v>
      </c>
      <c r="C9" s="18">
        <f>C5-C8</f>
        <v>109103.79999999999</v>
      </c>
      <c r="E9" s="15"/>
    </row>
    <row r="10" spans="1:6" x14ac:dyDescent="0.3">
      <c r="E10" s="15"/>
    </row>
    <row r="11" spans="1:6" x14ac:dyDescent="0.3">
      <c r="A11" s="2" t="s">
        <v>125</v>
      </c>
      <c r="B11" s="8">
        <f>C9</f>
        <v>109103.79999999999</v>
      </c>
      <c r="C11" s="2" t="s">
        <v>124</v>
      </c>
    </row>
    <row r="12" spans="1:6" x14ac:dyDescent="0.3">
      <c r="E12" s="13"/>
    </row>
    <row r="13" spans="1:6" x14ac:dyDescent="0.3">
      <c r="A13" s="16" t="s">
        <v>123</v>
      </c>
      <c r="B13" s="17">
        <v>45688</v>
      </c>
      <c r="C13" s="16" t="s">
        <v>122</v>
      </c>
      <c r="E13" s="15"/>
    </row>
    <row r="14" spans="1:6" x14ac:dyDescent="0.3">
      <c r="E14" s="15"/>
    </row>
    <row r="16" spans="1:6" x14ac:dyDescent="0.3">
      <c r="B16" s="14"/>
      <c r="E16" s="13"/>
    </row>
    <row r="17" spans="3:3" x14ac:dyDescent="0.3">
      <c r="C17" s="13"/>
    </row>
    <row r="20" spans="3:3" x14ac:dyDescent="0.3">
      <c r="C20" s="13"/>
    </row>
    <row r="21" spans="3:3" x14ac:dyDescent="0.3">
      <c r="C21" s="13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A436-E257-49CA-A3D5-499D3B0CF005}">
  <dimension ref="A1:G59"/>
  <sheetViews>
    <sheetView workbookViewId="0">
      <selection sqref="A1:XFD1048576"/>
    </sheetView>
  </sheetViews>
  <sheetFormatPr defaultRowHeight="14.4" x14ac:dyDescent="0.3"/>
  <cols>
    <col min="1" max="1" width="42.21875" bestFit="1" customWidth="1"/>
    <col min="2" max="2" width="25.5546875" bestFit="1" customWidth="1"/>
    <col min="3" max="3" width="31" bestFit="1" customWidth="1"/>
    <col min="4" max="4" width="15.44140625" customWidth="1"/>
    <col min="5" max="6" width="10.109375" bestFit="1" customWidth="1"/>
    <col min="7" max="7" width="22.21875" bestFit="1" customWidth="1"/>
  </cols>
  <sheetData>
    <row r="1" spans="1:3" x14ac:dyDescent="0.3">
      <c r="A1" s="29" t="s">
        <v>206</v>
      </c>
      <c r="B1" s="29"/>
      <c r="C1" s="29"/>
    </row>
    <row r="2" spans="1:3" x14ac:dyDescent="0.3">
      <c r="A2" s="29" t="s">
        <v>205</v>
      </c>
      <c r="B2" s="29"/>
      <c r="C2" s="29"/>
    </row>
    <row r="3" spans="1:3" x14ac:dyDescent="0.3">
      <c r="A3" t="s">
        <v>204</v>
      </c>
      <c r="B3" t="s">
        <v>203</v>
      </c>
      <c r="C3" t="s">
        <v>202</v>
      </c>
    </row>
    <row r="4" spans="1:3" x14ac:dyDescent="0.3">
      <c r="A4" t="s">
        <v>201</v>
      </c>
    </row>
    <row r="5" spans="1:3" x14ac:dyDescent="0.3">
      <c r="A5" t="s">
        <v>200</v>
      </c>
      <c r="B5" s="5">
        <f>'10 Trial Balance '!D17</f>
        <v>16900</v>
      </c>
      <c r="C5" t="s">
        <v>199</v>
      </c>
    </row>
    <row r="7" spans="1:3" x14ac:dyDescent="0.3">
      <c r="A7" t="s">
        <v>198</v>
      </c>
    </row>
    <row r="8" spans="1:3" x14ac:dyDescent="0.3">
      <c r="A8" t="s">
        <v>197</v>
      </c>
      <c r="B8" s="5">
        <f>'11 HST_Return'!C5</f>
        <v>288340</v>
      </c>
      <c r="C8" t="s">
        <v>196</v>
      </c>
    </row>
    <row r="9" spans="1:3" x14ac:dyDescent="0.3">
      <c r="A9" t="s">
        <v>195</v>
      </c>
      <c r="B9" s="5">
        <f>'11 HST_Return'!C8</f>
        <v>179236.2</v>
      </c>
      <c r="C9" t="s">
        <v>194</v>
      </c>
    </row>
    <row r="10" spans="1:3" x14ac:dyDescent="0.3">
      <c r="A10" t="s">
        <v>193</v>
      </c>
      <c r="B10" s="5">
        <f>B8-B9</f>
        <v>109103.79999999999</v>
      </c>
    </row>
    <row r="12" spans="1:3" x14ac:dyDescent="0.3">
      <c r="A12" t="s">
        <v>192</v>
      </c>
    </row>
    <row r="13" spans="1:3" x14ac:dyDescent="0.3">
      <c r="A13" t="s">
        <v>191</v>
      </c>
      <c r="B13" s="5">
        <f>B5</f>
        <v>16900</v>
      </c>
    </row>
    <row r="14" spans="1:3" x14ac:dyDescent="0.3">
      <c r="A14" t="s">
        <v>190</v>
      </c>
      <c r="B14" s="5">
        <f>B10</f>
        <v>109103.79999999999</v>
      </c>
    </row>
    <row r="15" spans="1:3" x14ac:dyDescent="0.3">
      <c r="A15" t="s">
        <v>189</v>
      </c>
      <c r="B15" s="5">
        <f>SUM(B13:B14)</f>
        <v>126003.79999999999</v>
      </c>
      <c r="C15" t="s">
        <v>188</v>
      </c>
    </row>
    <row r="17" spans="1:3" x14ac:dyDescent="0.3">
      <c r="A17" t="s">
        <v>187</v>
      </c>
    </row>
    <row r="18" spans="1:3" x14ac:dyDescent="0.3">
      <c r="A18" t="s">
        <v>186</v>
      </c>
      <c r="B18" s="5">
        <f>B13</f>
        <v>16900</v>
      </c>
      <c r="C18" t="s">
        <v>185</v>
      </c>
    </row>
    <row r="19" spans="1:3" x14ac:dyDescent="0.3">
      <c r="A19" t="s">
        <v>184</v>
      </c>
      <c r="B19" s="5">
        <f>B14</f>
        <v>109103.79999999999</v>
      </c>
      <c r="C19" t="s">
        <v>183</v>
      </c>
    </row>
    <row r="20" spans="1:3" x14ac:dyDescent="0.3">
      <c r="A20" t="s">
        <v>182</v>
      </c>
      <c r="B20" s="5">
        <f>B15</f>
        <v>126003.79999999999</v>
      </c>
    </row>
    <row r="21" spans="1:3" x14ac:dyDescent="0.3">
      <c r="B21" s="5"/>
    </row>
    <row r="22" spans="1:3" x14ac:dyDescent="0.3">
      <c r="A22" t="s">
        <v>133</v>
      </c>
      <c r="B22" t="s">
        <v>132</v>
      </c>
    </row>
    <row r="23" spans="1:3" x14ac:dyDescent="0.3">
      <c r="A23" s="20" t="s">
        <v>181</v>
      </c>
    </row>
    <row r="24" spans="1:3" x14ac:dyDescent="0.3">
      <c r="A24" t="s">
        <v>180</v>
      </c>
      <c r="B24" t="s">
        <v>179</v>
      </c>
    </row>
    <row r="25" spans="1:3" x14ac:dyDescent="0.3">
      <c r="A25" s="20" t="s">
        <v>178</v>
      </c>
      <c r="B25" t="s">
        <v>177</v>
      </c>
    </row>
    <row r="26" spans="1:3" x14ac:dyDescent="0.3">
      <c r="A26" s="20" t="s">
        <v>176</v>
      </c>
      <c r="B26" s="25">
        <v>45688</v>
      </c>
    </row>
    <row r="27" spans="1:3" x14ac:dyDescent="0.3">
      <c r="A27" s="20" t="s">
        <v>123</v>
      </c>
      <c r="B27" s="25">
        <v>45688</v>
      </c>
    </row>
    <row r="28" spans="1:3" x14ac:dyDescent="0.3">
      <c r="A28" s="20"/>
    </row>
    <row r="29" spans="1:3" x14ac:dyDescent="0.3">
      <c r="A29" s="20" t="s">
        <v>175</v>
      </c>
    </row>
    <row r="30" spans="1:3" x14ac:dyDescent="0.3">
      <c r="A30" s="20" t="s">
        <v>174</v>
      </c>
      <c r="B30" s="5">
        <f>B13</f>
        <v>16900</v>
      </c>
    </row>
    <row r="31" spans="1:3" x14ac:dyDescent="0.3">
      <c r="A31" s="20" t="s">
        <v>173</v>
      </c>
      <c r="B31" s="5">
        <f>B19</f>
        <v>109103.79999999999</v>
      </c>
    </row>
    <row r="32" spans="1:3" x14ac:dyDescent="0.3">
      <c r="A32" s="2" t="s">
        <v>172</v>
      </c>
      <c r="B32" s="4">
        <f>SUM(B30:B31)</f>
        <v>126003.79999999999</v>
      </c>
    </row>
    <row r="33" spans="1:7" x14ac:dyDescent="0.3">
      <c r="A33" s="7"/>
      <c r="B33" s="7"/>
    </row>
    <row r="34" spans="1:7" x14ac:dyDescent="0.3">
      <c r="A34" s="6" t="s">
        <v>171</v>
      </c>
      <c r="B34" s="7"/>
    </row>
    <row r="35" spans="1:7" x14ac:dyDescent="0.3">
      <c r="A35" s="6" t="s">
        <v>170</v>
      </c>
      <c r="B35" s="7"/>
    </row>
    <row r="36" spans="1:7" x14ac:dyDescent="0.3">
      <c r="A36" s="6" t="s">
        <v>169</v>
      </c>
      <c r="B36" s="7"/>
    </row>
    <row r="37" spans="1:7" x14ac:dyDescent="0.3">
      <c r="A37" s="6" t="s">
        <v>168</v>
      </c>
      <c r="B37" s="24" t="s">
        <v>167</v>
      </c>
    </row>
    <row r="38" spans="1:7" x14ac:dyDescent="0.3">
      <c r="A38" s="6" t="s">
        <v>166</v>
      </c>
    </row>
    <row r="40" spans="1:7" x14ac:dyDescent="0.3">
      <c r="A40" s="2" t="s">
        <v>165</v>
      </c>
      <c r="B40" s="2"/>
    </row>
    <row r="41" spans="1:7" x14ac:dyDescent="0.3">
      <c r="A41" s="2" t="s">
        <v>164</v>
      </c>
      <c r="B41" s="23">
        <f>A52</f>
        <v>45688</v>
      </c>
    </row>
    <row r="42" spans="1:7" x14ac:dyDescent="0.3">
      <c r="A42" s="2" t="s">
        <v>163</v>
      </c>
      <c r="B42" s="2"/>
    </row>
    <row r="43" spans="1:7" x14ac:dyDescent="0.3">
      <c r="A43" s="2" t="s">
        <v>162</v>
      </c>
      <c r="B43" s="4">
        <f>B32</f>
        <v>126003.79999999999</v>
      </c>
    </row>
    <row r="44" spans="1:7" s="21" customFormat="1" x14ac:dyDescent="0.3">
      <c r="A44" s="22" t="s">
        <v>161</v>
      </c>
      <c r="B44" s="22" t="str">
        <f>A37</f>
        <v xml:space="preserve"> Wire Transfer</v>
      </c>
    </row>
    <row r="45" spans="1:7" x14ac:dyDescent="0.3">
      <c r="B45" s="5"/>
    </row>
    <row r="46" spans="1:7" x14ac:dyDescent="0.3">
      <c r="A46" s="28" t="s">
        <v>160</v>
      </c>
      <c r="B46" s="28"/>
      <c r="C46" s="28"/>
      <c r="D46" s="28"/>
      <c r="E46" s="28"/>
      <c r="F46" s="28"/>
      <c r="G46" s="28"/>
    </row>
    <row r="47" spans="1:7" x14ac:dyDescent="0.3">
      <c r="A47" t="s">
        <v>159</v>
      </c>
      <c r="B47" t="s">
        <v>158</v>
      </c>
      <c r="C47" t="s">
        <v>157</v>
      </c>
      <c r="D47" t="s">
        <v>120</v>
      </c>
      <c r="E47" t="s">
        <v>156</v>
      </c>
      <c r="F47" t="s">
        <v>155</v>
      </c>
      <c r="G47" t="s">
        <v>154</v>
      </c>
    </row>
    <row r="48" spans="1:7" x14ac:dyDescent="0.3">
      <c r="A48" s="20">
        <v>45657</v>
      </c>
      <c r="B48" t="s">
        <v>152</v>
      </c>
      <c r="C48">
        <v>2100</v>
      </c>
      <c r="D48" t="s">
        <v>97</v>
      </c>
      <c r="E48" s="5">
        <v>179236.2</v>
      </c>
      <c r="G48" t="s">
        <v>153</v>
      </c>
    </row>
    <row r="49" spans="1:7" x14ac:dyDescent="0.3">
      <c r="A49" s="20">
        <v>45657</v>
      </c>
      <c r="B49" t="s">
        <v>152</v>
      </c>
      <c r="C49" t="s">
        <v>149</v>
      </c>
      <c r="D49" t="s">
        <v>151</v>
      </c>
      <c r="F49" s="5">
        <v>179236.2</v>
      </c>
      <c r="G49" t="s">
        <v>150</v>
      </c>
    </row>
    <row r="50" spans="1:7" x14ac:dyDescent="0.3">
      <c r="A50" s="20">
        <v>45657</v>
      </c>
      <c r="B50" t="s">
        <v>146</v>
      </c>
      <c r="C50" t="s">
        <v>149</v>
      </c>
      <c r="D50" t="s">
        <v>148</v>
      </c>
      <c r="E50" s="5">
        <v>288340</v>
      </c>
      <c r="G50" t="s">
        <v>147</v>
      </c>
    </row>
    <row r="51" spans="1:7" x14ac:dyDescent="0.3">
      <c r="A51" s="20">
        <v>45657</v>
      </c>
      <c r="B51" t="s">
        <v>146</v>
      </c>
      <c r="C51">
        <v>2100</v>
      </c>
      <c r="D51" t="s">
        <v>97</v>
      </c>
      <c r="F51" s="5">
        <v>288340</v>
      </c>
      <c r="G51" t="s">
        <v>145</v>
      </c>
    </row>
    <row r="52" spans="1:7" x14ac:dyDescent="0.3">
      <c r="A52" s="20">
        <v>45688</v>
      </c>
      <c r="B52" t="s">
        <v>143</v>
      </c>
      <c r="C52">
        <v>2100</v>
      </c>
      <c r="D52" t="s">
        <v>97</v>
      </c>
      <c r="E52" s="5">
        <v>126003.8</v>
      </c>
      <c r="G52" t="s">
        <v>144</v>
      </c>
    </row>
    <row r="53" spans="1:7" x14ac:dyDescent="0.3">
      <c r="A53" s="20">
        <v>45688</v>
      </c>
      <c r="B53" t="s">
        <v>143</v>
      </c>
      <c r="C53">
        <v>1000</v>
      </c>
      <c r="D53" t="s">
        <v>110</v>
      </c>
      <c r="F53" s="5">
        <v>126003.8</v>
      </c>
      <c r="G53" t="s">
        <v>142</v>
      </c>
    </row>
    <row r="54" spans="1:7" x14ac:dyDescent="0.3">
      <c r="E54" s="5"/>
    </row>
    <row r="55" spans="1:7" x14ac:dyDescent="0.3">
      <c r="A55" t="s">
        <v>141</v>
      </c>
      <c r="B55" s="20" t="s">
        <v>132</v>
      </c>
    </row>
    <row r="56" spans="1:7" x14ac:dyDescent="0.3">
      <c r="A56" t="s">
        <v>140</v>
      </c>
      <c r="B56" s="5">
        <f>B5</f>
        <v>16900</v>
      </c>
    </row>
    <row r="57" spans="1:7" s="2" customFormat="1" x14ac:dyDescent="0.3">
      <c r="A57" t="s">
        <v>139</v>
      </c>
      <c r="B57" s="5">
        <f>B8</f>
        <v>288340</v>
      </c>
      <c r="C57"/>
      <c r="D57"/>
      <c r="E57"/>
      <c r="F57"/>
    </row>
    <row r="58" spans="1:7" x14ac:dyDescent="0.3">
      <c r="A58" t="s">
        <v>138</v>
      </c>
      <c r="B58" s="5">
        <f>B9</f>
        <v>179236.2</v>
      </c>
      <c r="E58" s="5"/>
    </row>
    <row r="59" spans="1:7" x14ac:dyDescent="0.3">
      <c r="A59" s="2" t="s">
        <v>137</v>
      </c>
      <c r="B59" s="4">
        <f>B57-B58</f>
        <v>109103.79999999999</v>
      </c>
      <c r="C59" s="2" t="s">
        <v>136</v>
      </c>
      <c r="D59" s="2"/>
      <c r="E59" s="2"/>
      <c r="F59" s="4"/>
    </row>
  </sheetData>
  <mergeCells count="3">
    <mergeCell ref="A1:C1"/>
    <mergeCell ref="A2:C2"/>
    <mergeCell ref="A46:G4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B8EE-B760-47A9-A15F-3D9D5A352B50}">
  <dimension ref="A1:C20"/>
  <sheetViews>
    <sheetView workbookViewId="0">
      <selection activeCell="J25" sqref="J25"/>
    </sheetView>
  </sheetViews>
  <sheetFormatPr defaultRowHeight="14.4" x14ac:dyDescent="0.3"/>
  <cols>
    <col min="1" max="1" width="26.6640625" bestFit="1" customWidth="1"/>
    <col min="2" max="2" width="11.77734375" bestFit="1" customWidth="1"/>
    <col min="3" max="3" width="61.33203125" bestFit="1" customWidth="1"/>
  </cols>
  <sheetData>
    <row r="1" spans="1:3" x14ac:dyDescent="0.3">
      <c r="A1" s="29" t="s">
        <v>239</v>
      </c>
      <c r="B1" s="29"/>
      <c r="C1" s="29"/>
    </row>
    <row r="2" spans="1:3" x14ac:dyDescent="0.3">
      <c r="A2" t="s">
        <v>133</v>
      </c>
      <c r="B2" t="s">
        <v>132</v>
      </c>
      <c r="C2" t="s">
        <v>223</v>
      </c>
    </row>
    <row r="3" spans="1:3" x14ac:dyDescent="0.3">
      <c r="A3" t="s">
        <v>238</v>
      </c>
      <c r="B3" s="5">
        <f>'10 Trial Balance '!G38+'10 Trial Balance '!G39</f>
        <v>293400</v>
      </c>
      <c r="C3" t="s">
        <v>237</v>
      </c>
    </row>
    <row r="4" spans="1:3" x14ac:dyDescent="0.3">
      <c r="A4" t="s">
        <v>236</v>
      </c>
      <c r="B4">
        <v>0.85</v>
      </c>
      <c r="C4" t="s">
        <v>235</v>
      </c>
    </row>
    <row r="5" spans="1:3" x14ac:dyDescent="0.3">
      <c r="A5" t="s">
        <v>234</v>
      </c>
      <c r="B5">
        <f>B3*B4/100</f>
        <v>2493.9</v>
      </c>
      <c r="C5" t="s">
        <v>233</v>
      </c>
    </row>
    <row r="6" spans="1:3" s="2" customFormat="1" x14ac:dyDescent="0.3">
      <c r="A6" s="2" t="s">
        <v>232</v>
      </c>
      <c r="B6" s="2" t="s">
        <v>231</v>
      </c>
      <c r="C6" s="2" t="s">
        <v>230</v>
      </c>
    </row>
    <row r="7" spans="1:3" x14ac:dyDescent="0.3">
      <c r="A7" t="s">
        <v>229</v>
      </c>
      <c r="B7" s="5">
        <f>'10 Trial Balance '!G44</f>
        <v>5273</v>
      </c>
      <c r="C7" t="s">
        <v>73</v>
      </c>
    </row>
    <row r="8" spans="1:3" x14ac:dyDescent="0.3">
      <c r="A8" t="s">
        <v>228</v>
      </c>
      <c r="B8" s="5">
        <f>'10 Trial Balance '!H18</f>
        <v>21850</v>
      </c>
      <c r="C8" t="s">
        <v>96</v>
      </c>
    </row>
    <row r="9" spans="1:3" x14ac:dyDescent="0.3">
      <c r="A9" t="s">
        <v>227</v>
      </c>
      <c r="B9" t="s">
        <v>226</v>
      </c>
      <c r="C9" t="s">
        <v>225</v>
      </c>
    </row>
    <row r="11" spans="1:3" x14ac:dyDescent="0.3">
      <c r="A11" s="28" t="s">
        <v>224</v>
      </c>
      <c r="B11" s="28"/>
      <c r="C11" s="28"/>
    </row>
    <row r="12" spans="1:3" x14ac:dyDescent="0.3">
      <c r="A12" t="s">
        <v>133</v>
      </c>
      <c r="B12" t="s">
        <v>132</v>
      </c>
      <c r="C12" t="s">
        <v>223</v>
      </c>
    </row>
    <row r="13" spans="1:3" x14ac:dyDescent="0.3">
      <c r="A13" t="s">
        <v>222</v>
      </c>
      <c r="B13" s="5">
        <f>B3</f>
        <v>293400</v>
      </c>
      <c r="C13" t="s">
        <v>221</v>
      </c>
    </row>
    <row r="14" spans="1:3" x14ac:dyDescent="0.3">
      <c r="A14" t="s">
        <v>220</v>
      </c>
      <c r="B14">
        <v>1000000</v>
      </c>
      <c r="C14" t="s">
        <v>219</v>
      </c>
    </row>
    <row r="15" spans="1:3" x14ac:dyDescent="0.3">
      <c r="A15" t="s">
        <v>218</v>
      </c>
      <c r="B15">
        <v>0</v>
      </c>
      <c r="C15">
        <f>MAX(0, 293400 - 1000000)</f>
        <v>0</v>
      </c>
    </row>
    <row r="16" spans="1:3" x14ac:dyDescent="0.3">
      <c r="A16" t="s">
        <v>217</v>
      </c>
      <c r="B16" s="26">
        <v>1.95E-2</v>
      </c>
      <c r="C16" t="s">
        <v>216</v>
      </c>
    </row>
    <row r="17" spans="1:3" x14ac:dyDescent="0.3">
      <c r="A17" t="s">
        <v>215</v>
      </c>
      <c r="B17">
        <v>0</v>
      </c>
      <c r="C17">
        <f>0 * 1.95%</f>
        <v>0</v>
      </c>
    </row>
    <row r="18" spans="1:3" x14ac:dyDescent="0.3">
      <c r="A18" t="s">
        <v>214</v>
      </c>
      <c r="B18" t="s">
        <v>213</v>
      </c>
      <c r="C18" t="s">
        <v>212</v>
      </c>
    </row>
    <row r="19" spans="1:3" x14ac:dyDescent="0.3">
      <c r="A19" t="s">
        <v>211</v>
      </c>
      <c r="B19" s="25" t="s">
        <v>208</v>
      </c>
      <c r="C19" t="s">
        <v>210</v>
      </c>
    </row>
    <row r="20" spans="1:3" x14ac:dyDescent="0.3">
      <c r="A20" t="s">
        <v>209</v>
      </c>
      <c r="B20" t="s">
        <v>208</v>
      </c>
      <c r="C20" t="s">
        <v>207</v>
      </c>
    </row>
  </sheetData>
  <mergeCells count="2">
    <mergeCell ref="A1:C1"/>
    <mergeCell ref="A11:C1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 Trial Balance </vt:lpstr>
      <vt:lpstr>11 HST_Return</vt:lpstr>
      <vt:lpstr>12 HST_Rec&amp;JE</vt:lpstr>
      <vt:lpstr>13 WSIB &amp; EHT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Kori</dc:creator>
  <cp:lastModifiedBy>Arjun Kori</cp:lastModifiedBy>
  <dcterms:created xsi:type="dcterms:W3CDTF">2025-12-26T20:58:35Z</dcterms:created>
  <dcterms:modified xsi:type="dcterms:W3CDTF">2025-12-29T03:05:24Z</dcterms:modified>
</cp:coreProperties>
</file>