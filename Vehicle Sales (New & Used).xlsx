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2173900fa0e546/Desktop/"/>
    </mc:Choice>
  </mc:AlternateContent>
  <xr:revisionPtr revIDLastSave="0" documentId="8_{076E4E8D-D9F2-4AFA-9250-403545DBE037}" xr6:coauthVersionLast="47" xr6:coauthVersionMax="47" xr10:uidLastSave="{00000000-0000-0000-0000-000000000000}"/>
  <bookViews>
    <workbookView xWindow="24" yWindow="744" windowWidth="23016" windowHeight="12216" xr2:uid="{DA3F88E4-FB4A-4AFA-A66D-CDC472251C3D}"/>
  </bookViews>
  <sheets>
    <sheet name="Vehicle Sales (New &amp; Use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12" i="1"/>
  <c r="E36" i="1" s="1"/>
  <c r="C13" i="1"/>
  <c r="E37" i="1" s="1"/>
  <c r="C14" i="1"/>
  <c r="C17" i="1"/>
  <c r="C24" i="1"/>
  <c r="C26" i="1"/>
  <c r="C27" i="1"/>
  <c r="D40" i="1" s="1"/>
  <c r="C29" i="1"/>
  <c r="C30" i="1"/>
  <c r="C31" i="1"/>
  <c r="D35" i="1"/>
  <c r="D38" i="1"/>
  <c r="E39" i="1"/>
  <c r="E41" i="1"/>
  <c r="E42" i="1"/>
  <c r="D43" i="1"/>
  <c r="E44" i="1"/>
</calcChain>
</file>

<file path=xl/sharedStrings.xml><?xml version="1.0" encoding="utf-8"?>
<sst xmlns="http://schemas.openxmlformats.org/spreadsheetml/2006/main" count="79" uniqueCount="61">
  <si>
    <t>Remove from inventory</t>
  </si>
  <si>
    <t>Inventory - Used Vehicles</t>
  </si>
  <si>
    <t>Cost of vehicle sold</t>
  </si>
  <si>
    <t>COGS - Used Vehicles</t>
  </si>
  <si>
    <t>HST collected 13%</t>
  </si>
  <si>
    <t>HST Payable</t>
  </si>
  <si>
    <t>Net sales price excl. HST</t>
  </si>
  <si>
    <t>Sales Revenue - Used Vehicles</t>
  </si>
  <si>
    <t>Total customer payment - Used vehicle</t>
  </si>
  <si>
    <t>Cash / AR / Finance Receivable</t>
  </si>
  <si>
    <t>1000/1100</t>
  </si>
  <si>
    <t>Inventory - New Vehicles</t>
  </si>
  <si>
    <t>COGS - New Vehicles</t>
  </si>
  <si>
    <t>Sales Revenue - New Vehicles</t>
  </si>
  <si>
    <t>Total customer payment - New vehicle</t>
  </si>
  <si>
    <t>Memo</t>
  </si>
  <si>
    <t>Credit</t>
  </si>
  <si>
    <t>Debit</t>
  </si>
  <si>
    <t>Account Name</t>
  </si>
  <si>
    <t>Account No</t>
  </si>
  <si>
    <t>Date</t>
  </si>
  <si>
    <t>Journal Entries Summary - Vehicle Sales</t>
  </si>
  <si>
    <t>(4800 / 14500) * 100</t>
  </si>
  <si>
    <t>Gross Margin %</t>
  </si>
  <si>
    <t>14500 - 9700</t>
  </si>
  <si>
    <t>Gross Profit</t>
  </si>
  <si>
    <t>Amount Financed</t>
  </si>
  <si>
    <t>Cash Down Payment</t>
  </si>
  <si>
    <t>Total Price</t>
  </si>
  <si>
    <t>14500 * 0.13</t>
  </si>
  <si>
    <t>HST (13%)</t>
  </si>
  <si>
    <t>Selling Price</t>
  </si>
  <si>
    <t>Total Cost</t>
  </si>
  <si>
    <t>Reconditioning Cost</t>
  </si>
  <si>
    <t>Acquisition Cost</t>
  </si>
  <si>
    <t>2015 Toyota Corolla LE</t>
  </si>
  <si>
    <t>Vehicle Model</t>
  </si>
  <si>
    <t>Notes</t>
  </si>
  <si>
    <t>Amount</t>
  </si>
  <si>
    <t>Description</t>
  </si>
  <si>
    <t>Item</t>
  </si>
  <si>
    <t>Used Vehicle Sale</t>
  </si>
  <si>
    <t>Base + add-ons + net trade-in</t>
  </si>
  <si>
    <t>Approx.</t>
  </si>
  <si>
    <t>Example</t>
  </si>
  <si>
    <t>Down Payment</t>
  </si>
  <si>
    <t>Total Amount Due</t>
  </si>
  <si>
    <t>41299 * 0.13</t>
  </si>
  <si>
    <t>Subtotal before HST</t>
  </si>
  <si>
    <t>Net Trade Equity</t>
  </si>
  <si>
    <t>Trade-in Payoff</t>
  </si>
  <si>
    <t>2018 Toyota Camry</t>
  </si>
  <si>
    <t>Trade-in Allowance</t>
  </si>
  <si>
    <t>Total Add-ons</t>
  </si>
  <si>
    <t>Paint Protection</t>
  </si>
  <si>
    <t>Add-ons</t>
  </si>
  <si>
    <t>Extended Warranty</t>
  </si>
  <si>
    <t>Base vehicle</t>
  </si>
  <si>
    <t>Dealer Cost</t>
  </si>
  <si>
    <t>2024 Honda Accord EX-L</t>
  </si>
  <si>
    <t xml:space="preserve">New Vehicle Sale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</si>
</sst>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14" fontId="0" fillId="0" borderId="0" xfId="0" applyNumberFormat="1"/>
    <xf numFmtId="0" fontId="2" fillId="0" borderId="0" xfId="0" applyFont="1"/>
    <xf numFmtId="9" fontId="3" fillId="0" borderId="0" xfId="1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DED42-ADB5-4EA4-9429-241AE9B9D87A}" name="Table7" displayName="Table7" ref="A2:D17" totalsRowShown="0">
  <autoFilter ref="A2:D17" xr:uid="{F5D44449-4AAE-43DD-A589-7D900E3793C9}">
    <filterColumn colId="0" hiddenButton="1"/>
    <filterColumn colId="1" hiddenButton="1"/>
    <filterColumn colId="2" hiddenButton="1"/>
    <filterColumn colId="3" hiddenButton="1"/>
  </autoFilter>
  <tableColumns count="4">
    <tableColumn id="1" xr3:uid="{49307828-FF17-434E-A3F9-788DD89F206E}" name="Item"/>
    <tableColumn id="2" xr3:uid="{7A644AAA-5445-4F06-B0BA-2680A1BC59A3}" name="Description"/>
    <tableColumn id="3" xr3:uid="{749EB08D-2608-41A7-B71A-3F0986CF825E}" name="Amount"/>
    <tableColumn id="4" xr3:uid="{AE6A36B1-F7C4-4277-B2C3-FA32E9C6EF6F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A4C65A-A58F-4991-A6C6-7A7F09588FCD}" name="Table8" displayName="Table8" ref="A20:D31" totalsRowShown="0">
  <autoFilter ref="A20:D31" xr:uid="{E694833E-4F06-49C8-9993-076BA2D01930}">
    <filterColumn colId="0" hiddenButton="1"/>
    <filterColumn colId="1" hiddenButton="1"/>
    <filterColumn colId="2" hiddenButton="1"/>
    <filterColumn colId="3" hiddenButton="1"/>
  </autoFilter>
  <tableColumns count="4">
    <tableColumn id="1" xr3:uid="{9BC0F2BA-1C2E-4C03-B159-0EDFAAF0DD10}" name="Item"/>
    <tableColumn id="2" xr3:uid="{A8B6551A-A74B-482C-85CD-F9C8E86FC49B}" name="Description"/>
    <tableColumn id="3" xr3:uid="{EC5E17EB-4432-4169-8347-903D8513223F}" name="Amount"/>
    <tableColumn id="4" xr3:uid="{10428228-2820-4167-9861-FC4B78A04061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749F7-25DD-4805-9465-49F2BC7E8CE3}" name="Table11" displayName="Table11" ref="A34:F44" totalsRowShown="0">
  <autoFilter ref="A34:F44" xr:uid="{70738563-B565-4E0A-A536-67790469C7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D153E78-491D-4E49-9E03-20033D55DB5C}" name="Date" dataDxfId="0"/>
    <tableColumn id="2" xr3:uid="{006CDA3B-9F7D-44A6-BBB2-F0A44DECB499}" name="Account No"/>
    <tableColumn id="3" xr3:uid="{2DA14333-E707-4E89-B1C6-F746404A3D21}" name="Account Name"/>
    <tableColumn id="4" xr3:uid="{542D6E9F-2FB7-4769-92A2-D801A0D45D29}" name="Debit"/>
    <tableColumn id="5" xr3:uid="{C1F9ADEC-8778-4002-BAD8-F7B3CE6BF45C}" name="Credit"/>
    <tableColumn id="6" xr3:uid="{9195D8AA-6F3A-4E47-92CA-BE3A1F7F6488}" name="Me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1978-7715-430C-A35C-E02E08B8DCB2}">
  <dimension ref="A1:F45"/>
  <sheetViews>
    <sheetView tabSelected="1" workbookViewId="0">
      <selection activeCell="D7" sqref="D7"/>
    </sheetView>
  </sheetViews>
  <sheetFormatPr defaultRowHeight="14.4" x14ac:dyDescent="0.3"/>
  <cols>
    <col min="1" max="1" width="16.77734375" bestFit="1" customWidth="1"/>
    <col min="2" max="2" width="20.88671875" bestFit="1" customWidth="1"/>
    <col min="3" max="3" width="26" bestFit="1" customWidth="1"/>
    <col min="4" max="4" width="25.109375" bestFit="1" customWidth="1"/>
    <col min="6" max="6" width="32.88671875" bestFit="1" customWidth="1"/>
  </cols>
  <sheetData>
    <row r="1" spans="1:4" x14ac:dyDescent="0.3">
      <c r="A1" s="6" t="s">
        <v>60</v>
      </c>
      <c r="B1" s="7"/>
      <c r="C1" s="7"/>
      <c r="D1" s="7"/>
    </row>
    <row r="2" spans="1:4" x14ac:dyDescent="0.3">
      <c r="A2" t="s">
        <v>40</v>
      </c>
      <c r="B2" t="s">
        <v>39</v>
      </c>
      <c r="C2" t="s">
        <v>38</v>
      </c>
      <c r="D2" t="s">
        <v>37</v>
      </c>
    </row>
    <row r="3" spans="1:4" x14ac:dyDescent="0.3">
      <c r="A3" t="s">
        <v>36</v>
      </c>
      <c r="B3" t="s">
        <v>59</v>
      </c>
    </row>
    <row r="4" spans="1:4" x14ac:dyDescent="0.3">
      <c r="A4" t="s">
        <v>58</v>
      </c>
      <c r="B4" t="s">
        <v>57</v>
      </c>
      <c r="C4">
        <v>32000</v>
      </c>
    </row>
    <row r="5" spans="1:4" x14ac:dyDescent="0.3">
      <c r="A5" t="s">
        <v>31</v>
      </c>
      <c r="B5" t="s">
        <v>57</v>
      </c>
      <c r="C5">
        <v>42000</v>
      </c>
    </row>
    <row r="6" spans="1:4" x14ac:dyDescent="0.3">
      <c r="A6" t="s">
        <v>55</v>
      </c>
      <c r="B6" t="s">
        <v>56</v>
      </c>
      <c r="C6">
        <v>2400</v>
      </c>
    </row>
    <row r="7" spans="1:4" x14ac:dyDescent="0.3">
      <c r="A7" t="s">
        <v>55</v>
      </c>
      <c r="B7" t="s">
        <v>54</v>
      </c>
      <c r="C7">
        <v>899</v>
      </c>
    </row>
    <row r="8" spans="1:4" x14ac:dyDescent="0.3">
      <c r="A8" s="1" t="s">
        <v>53</v>
      </c>
      <c r="B8" s="1"/>
      <c r="C8" s="1">
        <f>SUM(C6:C7)</f>
        <v>3299</v>
      </c>
    </row>
    <row r="9" spans="1:4" x14ac:dyDescent="0.3">
      <c r="A9" t="s">
        <v>52</v>
      </c>
      <c r="B9" t="s">
        <v>51</v>
      </c>
      <c r="C9">
        <v>12000</v>
      </c>
    </row>
    <row r="10" spans="1:4" x14ac:dyDescent="0.3">
      <c r="A10" t="s">
        <v>50</v>
      </c>
      <c r="C10">
        <v>8000</v>
      </c>
    </row>
    <row r="11" spans="1:4" x14ac:dyDescent="0.3">
      <c r="A11" t="s">
        <v>49</v>
      </c>
      <c r="C11">
        <v>4000</v>
      </c>
    </row>
    <row r="12" spans="1:4" x14ac:dyDescent="0.3">
      <c r="A12" s="1" t="s">
        <v>48</v>
      </c>
      <c r="B12" s="1"/>
      <c r="C12" s="1">
        <f>C5+C8-C11</f>
        <v>41299</v>
      </c>
    </row>
    <row r="13" spans="1:4" x14ac:dyDescent="0.3">
      <c r="A13" t="s">
        <v>30</v>
      </c>
      <c r="C13" s="5">
        <f>C12*0.13</f>
        <v>5368.87</v>
      </c>
      <c r="D13" t="s">
        <v>47</v>
      </c>
    </row>
    <row r="14" spans="1:4" x14ac:dyDescent="0.3">
      <c r="A14" s="3" t="s">
        <v>46</v>
      </c>
      <c r="B14" s="3"/>
      <c r="C14" s="1">
        <f>SUM(C12,C13)</f>
        <v>46667.87</v>
      </c>
      <c r="D14" s="3"/>
    </row>
    <row r="15" spans="1:4" x14ac:dyDescent="0.3">
      <c r="A15" t="s">
        <v>45</v>
      </c>
      <c r="B15" t="s">
        <v>44</v>
      </c>
      <c r="C15">
        <v>11667.87</v>
      </c>
    </row>
    <row r="16" spans="1:4" x14ac:dyDescent="0.3">
      <c r="A16" t="s">
        <v>26</v>
      </c>
      <c r="C16">
        <v>35000</v>
      </c>
    </row>
    <row r="17" spans="1:4" s="3" customFormat="1" x14ac:dyDescent="0.3">
      <c r="A17" s="3" t="s">
        <v>25</v>
      </c>
      <c r="B17" s="3" t="s">
        <v>43</v>
      </c>
      <c r="C17" s="3">
        <f>(C5-C4)+C8+C10</f>
        <v>21299</v>
      </c>
      <c r="D17" s="3" t="s">
        <v>42</v>
      </c>
    </row>
    <row r="18" spans="1:4" s="3" customFormat="1" x14ac:dyDescent="0.3"/>
    <row r="19" spans="1:4" s="3" customFormat="1" x14ac:dyDescent="0.3">
      <c r="A19" s="6" t="s">
        <v>41</v>
      </c>
      <c r="B19" s="6"/>
      <c r="C19" s="6"/>
      <c r="D19" s="6"/>
    </row>
    <row r="20" spans="1:4" s="3" customFormat="1" x14ac:dyDescent="0.3">
      <c r="A20" t="s">
        <v>40</v>
      </c>
      <c r="B20" t="s">
        <v>39</v>
      </c>
      <c r="C20" t="s">
        <v>38</v>
      </c>
      <c r="D20" t="s">
        <v>37</v>
      </c>
    </row>
    <row r="21" spans="1:4" s="3" customFormat="1" x14ac:dyDescent="0.3">
      <c r="A21" s="3" t="s">
        <v>36</v>
      </c>
      <c r="B21" s="3" t="s">
        <v>35</v>
      </c>
    </row>
    <row r="22" spans="1:4" s="3" customFormat="1" x14ac:dyDescent="0.3">
      <c r="A22" t="s">
        <v>34</v>
      </c>
      <c r="B22"/>
      <c r="C22">
        <v>8500</v>
      </c>
      <c r="D22"/>
    </row>
    <row r="23" spans="1:4" s="3" customFormat="1" x14ac:dyDescent="0.3">
      <c r="A23" t="s">
        <v>33</v>
      </c>
      <c r="B23"/>
      <c r="C23">
        <v>1200</v>
      </c>
      <c r="D23"/>
    </row>
    <row r="24" spans="1:4" s="3" customFormat="1" x14ac:dyDescent="0.3">
      <c r="A24" s="1" t="s">
        <v>32</v>
      </c>
      <c r="B24" s="1"/>
      <c r="C24" s="1">
        <f>SUM(C22:C23)</f>
        <v>9700</v>
      </c>
      <c r="D24" s="1"/>
    </row>
    <row r="25" spans="1:4" s="3" customFormat="1" x14ac:dyDescent="0.3">
      <c r="A25" t="s">
        <v>31</v>
      </c>
      <c r="B25"/>
      <c r="C25">
        <v>14500</v>
      </c>
      <c r="D25"/>
    </row>
    <row r="26" spans="1:4" s="3" customFormat="1" x14ac:dyDescent="0.3">
      <c r="A26" s="1" t="s">
        <v>30</v>
      </c>
      <c r="B26" s="1"/>
      <c r="C26" s="1">
        <f>C25*0.13</f>
        <v>1885</v>
      </c>
      <c r="D26" s="1" t="s">
        <v>29</v>
      </c>
    </row>
    <row r="27" spans="1:4" s="3" customFormat="1" x14ac:dyDescent="0.3">
      <c r="A27" t="s">
        <v>28</v>
      </c>
      <c r="B27"/>
      <c r="C27">
        <f>C25+C26</f>
        <v>16385</v>
      </c>
      <c r="D27"/>
    </row>
    <row r="28" spans="1:4" s="3" customFormat="1" x14ac:dyDescent="0.3">
      <c r="A28" t="s">
        <v>27</v>
      </c>
      <c r="B28"/>
      <c r="C28">
        <v>5000</v>
      </c>
      <c r="D28"/>
    </row>
    <row r="29" spans="1:4" s="3" customFormat="1" x14ac:dyDescent="0.3">
      <c r="A29" t="s">
        <v>26</v>
      </c>
      <c r="B29"/>
      <c r="C29">
        <f>C27-C28</f>
        <v>11385</v>
      </c>
      <c r="D29"/>
    </row>
    <row r="30" spans="1:4" s="3" customFormat="1" x14ac:dyDescent="0.3">
      <c r="A30" s="1" t="s">
        <v>25</v>
      </c>
      <c r="B30" s="1"/>
      <c r="C30" s="1">
        <f>C25-C24</f>
        <v>4800</v>
      </c>
      <c r="D30" s="1" t="s">
        <v>24</v>
      </c>
    </row>
    <row r="31" spans="1:4" s="3" customFormat="1" x14ac:dyDescent="0.3">
      <c r="A31" s="1" t="s">
        <v>23</v>
      </c>
      <c r="B31" s="1"/>
      <c r="C31" s="4">
        <f>(4800 / 14500)</f>
        <v>0.33103448275862069</v>
      </c>
      <c r="D31" s="1" t="s">
        <v>22</v>
      </c>
    </row>
    <row r="33" spans="1:6" x14ac:dyDescent="0.3">
      <c r="A33" s="7" t="s">
        <v>21</v>
      </c>
      <c r="B33" s="7"/>
      <c r="C33" s="7"/>
      <c r="D33" s="7"/>
      <c r="E33" s="7"/>
      <c r="F33" s="7"/>
    </row>
    <row r="34" spans="1:6" x14ac:dyDescent="0.3">
      <c r="A34" t="s">
        <v>20</v>
      </c>
      <c r="B34" t="s">
        <v>19</v>
      </c>
      <c r="C34" t="s">
        <v>18</v>
      </c>
      <c r="D34" t="s">
        <v>17</v>
      </c>
      <c r="E34" t="s">
        <v>16</v>
      </c>
      <c r="F34" t="s">
        <v>15</v>
      </c>
    </row>
    <row r="35" spans="1:6" s="3" customFormat="1" x14ac:dyDescent="0.3">
      <c r="A35" s="2">
        <v>46006</v>
      </c>
      <c r="B35" t="s">
        <v>10</v>
      </c>
      <c r="C35" t="s">
        <v>9</v>
      </c>
      <c r="D35">
        <f>C14</f>
        <v>46667.87</v>
      </c>
      <c r="F35" s="3" t="s">
        <v>14</v>
      </c>
    </row>
    <row r="36" spans="1:6" x14ac:dyDescent="0.3">
      <c r="A36" s="2">
        <v>46006</v>
      </c>
      <c r="B36">
        <v>4000</v>
      </c>
      <c r="C36" t="s">
        <v>13</v>
      </c>
      <c r="E36">
        <f>C12</f>
        <v>41299</v>
      </c>
      <c r="F36" t="s">
        <v>6</v>
      </c>
    </row>
    <row r="37" spans="1:6" x14ac:dyDescent="0.3">
      <c r="A37" s="2">
        <v>46006</v>
      </c>
      <c r="B37">
        <v>2100</v>
      </c>
      <c r="C37" t="s">
        <v>5</v>
      </c>
      <c r="E37">
        <f>C13</f>
        <v>5368.87</v>
      </c>
      <c r="F37" t="s">
        <v>4</v>
      </c>
    </row>
    <row r="38" spans="1:6" x14ac:dyDescent="0.3">
      <c r="A38" s="2">
        <v>46006</v>
      </c>
      <c r="B38">
        <v>5000</v>
      </c>
      <c r="C38" t="s">
        <v>12</v>
      </c>
      <c r="D38">
        <f>C4</f>
        <v>32000</v>
      </c>
      <c r="F38" t="s">
        <v>2</v>
      </c>
    </row>
    <row r="39" spans="1:6" x14ac:dyDescent="0.3">
      <c r="A39" s="2">
        <v>46006</v>
      </c>
      <c r="B39">
        <v>1200</v>
      </c>
      <c r="C39" t="s">
        <v>11</v>
      </c>
      <c r="E39">
        <f>D38</f>
        <v>32000</v>
      </c>
      <c r="F39" t="s">
        <v>0</v>
      </c>
    </row>
    <row r="40" spans="1:6" x14ac:dyDescent="0.3">
      <c r="A40" s="2">
        <v>46011</v>
      </c>
      <c r="B40" t="s">
        <v>10</v>
      </c>
      <c r="C40" t="s">
        <v>9</v>
      </c>
      <c r="D40">
        <f>C27</f>
        <v>16385</v>
      </c>
      <c r="F40" t="s">
        <v>8</v>
      </c>
    </row>
    <row r="41" spans="1:6" x14ac:dyDescent="0.3">
      <c r="A41" s="2">
        <v>46011</v>
      </c>
      <c r="B41">
        <v>4010</v>
      </c>
      <c r="C41" t="s">
        <v>7</v>
      </c>
      <c r="E41">
        <f>C25</f>
        <v>14500</v>
      </c>
      <c r="F41" t="s">
        <v>6</v>
      </c>
    </row>
    <row r="42" spans="1:6" x14ac:dyDescent="0.3">
      <c r="A42" s="2">
        <v>46011</v>
      </c>
      <c r="B42">
        <v>2100</v>
      </c>
      <c r="C42" t="s">
        <v>5</v>
      </c>
      <c r="E42">
        <f>C26</f>
        <v>1885</v>
      </c>
      <c r="F42" t="s">
        <v>4</v>
      </c>
    </row>
    <row r="43" spans="1:6" x14ac:dyDescent="0.3">
      <c r="A43" s="2">
        <v>46011</v>
      </c>
      <c r="B43">
        <v>5001</v>
      </c>
      <c r="C43" t="s">
        <v>3</v>
      </c>
      <c r="D43">
        <f>C24</f>
        <v>9700</v>
      </c>
      <c r="F43" t="s">
        <v>2</v>
      </c>
    </row>
    <row r="44" spans="1:6" x14ac:dyDescent="0.3">
      <c r="A44" s="2">
        <v>46011</v>
      </c>
      <c r="B44">
        <v>1210</v>
      </c>
      <c r="C44" t="s">
        <v>1</v>
      </c>
      <c r="E44">
        <f>D43</f>
        <v>9700</v>
      </c>
      <c r="F44" t="s">
        <v>0</v>
      </c>
    </row>
    <row r="45" spans="1:6" s="1" customFormat="1" x14ac:dyDescent="0.3">
      <c r="A45"/>
      <c r="B45"/>
      <c r="C45"/>
      <c r="D45"/>
    </row>
  </sheetData>
  <mergeCells count="3">
    <mergeCell ref="A19:D19"/>
    <mergeCell ref="A1:D1"/>
    <mergeCell ref="A33:F33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Sales (New &amp; Used)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Kori</dc:creator>
  <cp:lastModifiedBy>Arjun Kori</cp:lastModifiedBy>
  <dcterms:created xsi:type="dcterms:W3CDTF">2025-12-27T22:51:35Z</dcterms:created>
  <dcterms:modified xsi:type="dcterms:W3CDTF">2025-12-27T22:53:31Z</dcterms:modified>
</cp:coreProperties>
</file>